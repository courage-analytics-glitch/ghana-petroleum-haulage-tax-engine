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91fa670096efc3df/Documents/Dashboards/"/>
    </mc:Choice>
  </mc:AlternateContent>
  <xr:revisionPtr revIDLastSave="0" documentId="8_{E8B04460-045E-48AF-BFD0-4B6078DC1B15}" xr6:coauthVersionLast="47" xr6:coauthVersionMax="47" xr10:uidLastSave="{00000000-0000-0000-0000-000000000000}"/>
  <bookViews>
    <workbookView xWindow="-108" yWindow="-108" windowWidth="23256" windowHeight="12456" tabRatio="768" activeTab="6" xr2:uid="{2C844934-FAB0-40B2-995A-3513A96C7D6F}"/>
  </bookViews>
  <sheets>
    <sheet name="Assumptions" sheetId="1" r:id="rId1"/>
    <sheet name="Categories" sheetId="2" r:id="rId2"/>
    <sheet name="Ledger" sheetId="3" r:id="rId3"/>
    <sheet name="VAT_Recon" sheetId="6" r:id="rId4"/>
    <sheet name="Error_Flags" sheetId="7" r:id="rId5"/>
    <sheet name="Cash_Flow" sheetId="8" r:id="rId6"/>
    <sheet name="Error_Key" sheetId="4" r:id="rId7"/>
  </sheets>
  <definedNames>
    <definedName name="AsAt_Date">Assumptions!$D$13</definedName>
    <definedName name="Cat_ChargesVAT">Categories!$F$8:$F$18</definedName>
    <definedName name="Cat_Class">Categories!$D$8:$D$18</definedName>
    <definedName name="Cat_Codes">Categories!$B$8:$B$18</definedName>
    <definedName name="Cat_Direction">Categories!$E$8:$E$18</definedName>
    <definedName name="Cat_InputDeductible">Categories!$G$8:$G$18</definedName>
    <definedName name="Cat_Name">Categories!$C$8:$C$18</definedName>
    <definedName name="Cat_Rate">Categories!$M$8:$M$18</definedName>
    <definedName name="Cat_Recoverable">Categories!$N$8:$N$18</definedName>
    <definedName name="Combined_VAT_Rate">Assumptions!$D$25</definedName>
    <definedName name="COVID_Rate">Assumptions!$D$23</definedName>
    <definedName name="COVID_Rate_Prior">Assumptions!$D$24</definedName>
    <definedName name="Dir_In">Cash_Flow!$F$7</definedName>
    <definedName name="Dir_Out">Cash_Flow!$F$8</definedName>
    <definedName name="Dup_Exclusions">Error_Flags!$F$7:$H$7</definedName>
    <definedName name="GETFund_Rate">Assumptions!$D$22</definedName>
    <definedName name="Ledger_Year">Assumptions!$D$12</definedName>
    <definedName name="NHIL_Rate">Assumptions!$D$21</definedName>
    <definedName name="NoInv_Exempt">Error_Flags!$F$6</definedName>
    <definedName name="Opening_Cash">Cash_Flow!$F$6</definedName>
    <definedName name="Prefix_Inflow">Error_Flags!$F$9</definedName>
    <definedName name="Prefix_Outflow">Error_Flags!$F$10</definedName>
    <definedName name="Remit_Kw1">Cash_Flow!$F$10</definedName>
    <definedName name="Remit_Kw2">Cash_Flow!$G$10</definedName>
    <definedName name="Sim_End">Assumptions!$D$11</definedName>
    <definedName name="Sim_Start">Assumptions!$D$10</definedName>
    <definedName name="Suspect_Categories">Error_Flags!$F$11</definedName>
    <definedName name="Suspect_Keywords">Error_Flags!$F$12:$M$12</definedName>
    <definedName name="Tax_Authority">Cash_Flow!$F$9</definedName>
    <definedName name="Tax_Tolerance">Error_Flags!$F$8</definedName>
    <definedName name="VAT_Flat_Rate">Assumptions!$D$26</definedName>
    <definedName name="VAT_Rate">Assumptions!$D$20</definedName>
    <definedName name="VAT_Threshold_Goods">Assumptions!$D$27</definedName>
    <definedName name="VAT_Threshold_Services">Assumptions!$D$28</definedName>
    <definedName name="VAT_WHT_Rate">Assumptions!$D$29</definedName>
    <definedName name="VR_Output_Tax_Total">VAT_Recon!$C$17+VAT_Recon!$D$17+VAT_Recon!$E$17</definedName>
    <definedName name="VR_Withheld_At_Source">VAT_Recon!$G$30</definedName>
    <definedName name="WHT_Goods">Assumptions!$D$30</definedName>
    <definedName name="WHT_Services">Assumptions!$D$31</definedName>
    <definedName name="WHT_Threshold">Assumptions!$D$33</definedName>
    <definedName name="WHT_Works">Assumptions!$D$32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8" l="1" a="1"/>
  <c r="G28" i="8" s="1"/>
  <c r="G30" i="8" s="1"/>
  <c r="G39" i="8"/>
  <c r="F39" i="8"/>
  <c r="G38" i="8"/>
  <c r="F38" i="8"/>
  <c r="E38" i="8"/>
  <c r="G37" i="8"/>
  <c r="F37" i="8" a="1"/>
  <c r="F37" i="8" s="1"/>
  <c r="E37" i="8"/>
  <c r="G36" i="8"/>
  <c r="F36" i="8" a="1"/>
  <c r="F36" i="8" s="1"/>
  <c r="E36" i="8"/>
  <c r="G35" i="8"/>
  <c r="F35" i="8"/>
  <c r="E35" i="8"/>
  <c r="G29" i="8"/>
  <c r="G27" i="8" a="1"/>
  <c r="G27" i="8" s="1"/>
  <c r="H23" i="8"/>
  <c r="G23" i="8" a="1"/>
  <c r="G23" i="8" s="1"/>
  <c r="F23" i="8"/>
  <c r="E23" i="8"/>
  <c r="D23" i="8"/>
  <c r="C23" i="8"/>
  <c r="F17" i="8"/>
  <c r="D17" i="8" a="1"/>
  <c r="D17" i="8" s="1"/>
  <c r="B17" i="8"/>
  <c r="B18" i="8" s="1"/>
  <c r="H16" i="8"/>
  <c r="G16" i="8"/>
  <c r="F16" i="8"/>
  <c r="E16" i="8"/>
  <c r="D16" i="8" a="1"/>
  <c r="D16" i="8" s="1"/>
  <c r="C16" i="8" a="1"/>
  <c r="C16" i="8" s="1"/>
  <c r="B16" i="8"/>
  <c r="H15" i="8"/>
  <c r="G15" i="8"/>
  <c r="F15" i="8"/>
  <c r="E15" i="8"/>
  <c r="D15" i="8" a="1"/>
  <c r="D15" i="8" s="1"/>
  <c r="C15" i="8" a="1"/>
  <c r="C15" i="8" s="1"/>
  <c r="B15" i="8"/>
  <c r="D14" i="8"/>
  <c r="C14" i="8"/>
  <c r="I20" i="7"/>
  <c r="I17" i="7"/>
  <c r="I18" i="7"/>
  <c r="I19" i="7"/>
  <c r="I23" i="7"/>
  <c r="H23" i="7"/>
  <c r="G23" i="7"/>
  <c r="F23" i="7"/>
  <c r="G22" i="7"/>
  <c r="G21" i="7"/>
  <c r="P326" i="7" a="1"/>
  <c r="P326" i="7" s="1"/>
  <c r="Q326" i="7" s="1"/>
  <c r="P325" i="7" a="1"/>
  <c r="P325" i="7" s="1"/>
  <c r="Q325" i="7" s="1"/>
  <c r="P324" i="7" a="1"/>
  <c r="P324" i="7" s="1"/>
  <c r="Q324" i="7" s="1"/>
  <c r="P323" i="7" a="1"/>
  <c r="P323" i="7" s="1"/>
  <c r="Q323" i="7" s="1"/>
  <c r="P322" i="7" a="1"/>
  <c r="P322" i="7" s="1"/>
  <c r="Q322" i="7" s="1"/>
  <c r="P321" i="7" a="1"/>
  <c r="P321" i="7" s="1"/>
  <c r="Q321" i="7" s="1"/>
  <c r="P320" i="7" a="1"/>
  <c r="P320" i="7" s="1"/>
  <c r="Q320" i="7" s="1"/>
  <c r="P319" i="7" a="1"/>
  <c r="P319" i="7" s="1"/>
  <c r="Q319" i="7" s="1"/>
  <c r="P318" i="7" a="1"/>
  <c r="P318" i="7" s="1"/>
  <c r="Q318" i="7" s="1"/>
  <c r="P317" i="7" a="1"/>
  <c r="P317" i="7" s="1"/>
  <c r="Q317" i="7" s="1"/>
  <c r="P316" i="7" a="1"/>
  <c r="P316" i="7" s="1"/>
  <c r="Q316" i="7" s="1"/>
  <c r="P315" i="7" a="1"/>
  <c r="P315" i="7" s="1"/>
  <c r="Q315" i="7" s="1"/>
  <c r="P314" i="7" a="1"/>
  <c r="P314" i="7" s="1"/>
  <c r="Q314" i="7" s="1"/>
  <c r="P313" i="7" a="1"/>
  <c r="P313" i="7" s="1"/>
  <c r="Q313" i="7" s="1"/>
  <c r="P312" i="7" a="1"/>
  <c r="P312" i="7" s="1"/>
  <c r="Q312" i="7" s="1"/>
  <c r="P311" i="7" a="1"/>
  <c r="P311" i="7" s="1"/>
  <c r="Q311" i="7" s="1"/>
  <c r="P310" i="7" a="1"/>
  <c r="P310" i="7" s="1"/>
  <c r="Q310" i="7" s="1"/>
  <c r="P309" i="7" a="1"/>
  <c r="P309" i="7" s="1"/>
  <c r="Q309" i="7" s="1"/>
  <c r="P308" i="7" a="1"/>
  <c r="P308" i="7" s="1"/>
  <c r="Q308" i="7" s="1"/>
  <c r="P307" i="7" a="1"/>
  <c r="P307" i="7" s="1"/>
  <c r="Q307" i="7" s="1"/>
  <c r="P306" i="7" a="1"/>
  <c r="P306" i="7" s="1"/>
  <c r="Q306" i="7" s="1"/>
  <c r="P305" i="7" a="1"/>
  <c r="P305" i="7" s="1"/>
  <c r="Q305" i="7" s="1"/>
  <c r="P304" i="7" a="1"/>
  <c r="P304" i="7" s="1"/>
  <c r="Q304" i="7" s="1"/>
  <c r="P303" i="7" a="1"/>
  <c r="P303" i="7" s="1"/>
  <c r="Q303" i="7" s="1"/>
  <c r="P302" i="7" a="1"/>
  <c r="P302" i="7" s="1"/>
  <c r="Q302" i="7" s="1"/>
  <c r="P301" i="7" a="1"/>
  <c r="P301" i="7" s="1"/>
  <c r="Q301" i="7" s="1"/>
  <c r="P300" i="7" a="1"/>
  <c r="P300" i="7" s="1"/>
  <c r="Q300" i="7" s="1"/>
  <c r="P299" i="7" a="1"/>
  <c r="P299" i="7" s="1"/>
  <c r="Q299" i="7" s="1"/>
  <c r="P298" i="7" a="1"/>
  <c r="P298" i="7" s="1"/>
  <c r="Q298" i="7" s="1"/>
  <c r="P297" i="7" a="1"/>
  <c r="P297" i="7" s="1"/>
  <c r="Q297" i="7" s="1"/>
  <c r="P296" i="7"/>
  <c r="Q296" i="7" s="1"/>
  <c r="P296" i="7" a="1"/>
  <c r="P295" i="7" a="1"/>
  <c r="P295" i="7" s="1"/>
  <c r="Q295" i="7" s="1"/>
  <c r="P294" i="7" a="1"/>
  <c r="P294" i="7" s="1"/>
  <c r="Q294" i="7" s="1"/>
  <c r="P293" i="7" a="1"/>
  <c r="P293" i="7" s="1"/>
  <c r="Q293" i="7" s="1"/>
  <c r="P292" i="7" a="1"/>
  <c r="P292" i="7" s="1"/>
  <c r="Q292" i="7" s="1"/>
  <c r="P291" i="7" a="1"/>
  <c r="P291" i="7" s="1"/>
  <c r="Q291" i="7" s="1"/>
  <c r="P290" i="7" a="1"/>
  <c r="P290" i="7" s="1"/>
  <c r="Q290" i="7" s="1"/>
  <c r="P289" i="7" a="1"/>
  <c r="P289" i="7" s="1"/>
  <c r="Q289" i="7" s="1"/>
  <c r="P288" i="7" a="1"/>
  <c r="P288" i="7" s="1"/>
  <c r="Q288" i="7" s="1"/>
  <c r="P287" i="7" a="1"/>
  <c r="P287" i="7" s="1"/>
  <c r="Q287" i="7" s="1"/>
  <c r="P286" i="7" a="1"/>
  <c r="P286" i="7" s="1"/>
  <c r="Q286" i="7" s="1"/>
  <c r="P285" i="7" a="1"/>
  <c r="P285" i="7" s="1"/>
  <c r="Q285" i="7" s="1"/>
  <c r="P284" i="7" a="1"/>
  <c r="P284" i="7" s="1"/>
  <c r="Q284" i="7" s="1"/>
  <c r="P283" i="7" a="1"/>
  <c r="P283" i="7" s="1"/>
  <c r="Q283" i="7" s="1"/>
  <c r="P282" i="7" a="1"/>
  <c r="P282" i="7" s="1"/>
  <c r="Q282" i="7" s="1"/>
  <c r="P281" i="7" a="1"/>
  <c r="P281" i="7" s="1"/>
  <c r="Q281" i="7" s="1"/>
  <c r="P280" i="7" a="1"/>
  <c r="P280" i="7" s="1"/>
  <c r="Q280" i="7" s="1"/>
  <c r="P279" i="7" a="1"/>
  <c r="P279" i="7" s="1"/>
  <c r="Q279" i="7" s="1"/>
  <c r="P278" i="7" a="1"/>
  <c r="P278" i="7" s="1"/>
  <c r="Q278" i="7" s="1"/>
  <c r="P277" i="7" a="1"/>
  <c r="P277" i="7" s="1"/>
  <c r="Q277" i="7" s="1"/>
  <c r="P276" i="7" a="1"/>
  <c r="P276" i="7" s="1"/>
  <c r="Q276" i="7" s="1"/>
  <c r="P275" i="7" a="1"/>
  <c r="P275" i="7" s="1"/>
  <c r="Q275" i="7" s="1"/>
  <c r="P274" i="7" a="1"/>
  <c r="P274" i="7" s="1"/>
  <c r="Q274" i="7" s="1"/>
  <c r="P273" i="7" a="1"/>
  <c r="P273" i="7" s="1"/>
  <c r="Q273" i="7" s="1"/>
  <c r="P272" i="7" a="1"/>
  <c r="P272" i="7" s="1"/>
  <c r="Q272" i="7" s="1"/>
  <c r="P271" i="7" a="1"/>
  <c r="P271" i="7" s="1"/>
  <c r="Q271" i="7" s="1"/>
  <c r="P270" i="7" a="1"/>
  <c r="P270" i="7" s="1"/>
  <c r="Q270" i="7" s="1"/>
  <c r="P269" i="7" a="1"/>
  <c r="P269" i="7" s="1"/>
  <c r="Q269" i="7" s="1"/>
  <c r="P268" i="7" a="1"/>
  <c r="P268" i="7" s="1"/>
  <c r="Q268" i="7" s="1"/>
  <c r="P267" i="7" a="1"/>
  <c r="P267" i="7" s="1"/>
  <c r="Q267" i="7" s="1"/>
  <c r="P266" i="7" a="1"/>
  <c r="P266" i="7" s="1"/>
  <c r="Q266" i="7" s="1"/>
  <c r="P265" i="7" a="1"/>
  <c r="P265" i="7" s="1"/>
  <c r="Q265" i="7" s="1"/>
  <c r="P264" i="7" a="1"/>
  <c r="P264" i="7" s="1"/>
  <c r="Q264" i="7" s="1"/>
  <c r="P263" i="7" a="1"/>
  <c r="P263" i="7" s="1"/>
  <c r="Q263" i="7" s="1"/>
  <c r="P262" i="7" a="1"/>
  <c r="P262" i="7" s="1"/>
  <c r="Q262" i="7" s="1"/>
  <c r="P261" i="7" a="1"/>
  <c r="P261" i="7" s="1"/>
  <c r="Q261" i="7" s="1"/>
  <c r="P260" i="7" a="1"/>
  <c r="P260" i="7" s="1"/>
  <c r="Q260" i="7" s="1"/>
  <c r="P259" i="7" a="1"/>
  <c r="P259" i="7" s="1"/>
  <c r="Q259" i="7" s="1"/>
  <c r="P258" i="7" a="1"/>
  <c r="P258" i="7" s="1"/>
  <c r="Q258" i="7" s="1"/>
  <c r="P257" i="7" a="1"/>
  <c r="P257" i="7" s="1"/>
  <c r="Q257" i="7" s="1"/>
  <c r="P256" i="7" a="1"/>
  <c r="P256" i="7" s="1"/>
  <c r="Q256" i="7" s="1"/>
  <c r="P255" i="7" a="1"/>
  <c r="P255" i="7" s="1"/>
  <c r="Q255" i="7" s="1"/>
  <c r="P254" i="7" a="1"/>
  <c r="P254" i="7" s="1"/>
  <c r="Q254" i="7" s="1"/>
  <c r="P253" i="7" a="1"/>
  <c r="P253" i="7" s="1"/>
  <c r="Q253" i="7" s="1"/>
  <c r="P252" i="7"/>
  <c r="Q252" i="7" s="1"/>
  <c r="P252" i="7" a="1"/>
  <c r="P251" i="7" a="1"/>
  <c r="P251" i="7" s="1"/>
  <c r="Q251" i="7" s="1"/>
  <c r="P250" i="7" a="1"/>
  <c r="P250" i="7" s="1"/>
  <c r="Q250" i="7" s="1"/>
  <c r="Q249" i="7"/>
  <c r="P249" i="7" a="1"/>
  <c r="P249" i="7" s="1"/>
  <c r="P248" i="7" a="1"/>
  <c r="P248" i="7" s="1"/>
  <c r="Q248" i="7" s="1"/>
  <c r="P247" i="7" a="1"/>
  <c r="P247" i="7" s="1"/>
  <c r="Q247" i="7" s="1"/>
  <c r="P246" i="7" a="1"/>
  <c r="P246" i="7" s="1"/>
  <c r="Q246" i="7" s="1"/>
  <c r="P245" i="7" a="1"/>
  <c r="P245" i="7" s="1"/>
  <c r="Q245" i="7" s="1"/>
  <c r="P244" i="7" a="1"/>
  <c r="P244" i="7" s="1"/>
  <c r="Q244" i="7" s="1"/>
  <c r="P243" i="7" a="1"/>
  <c r="P243" i="7" s="1"/>
  <c r="Q243" i="7" s="1"/>
  <c r="P242" i="7" a="1"/>
  <c r="P242" i="7" s="1"/>
  <c r="Q242" i="7" s="1"/>
  <c r="P241" i="7" a="1"/>
  <c r="P241" i="7" s="1"/>
  <c r="Q241" i="7" s="1"/>
  <c r="P240" i="7" a="1"/>
  <c r="P240" i="7" s="1"/>
  <c r="Q240" i="7" s="1"/>
  <c r="P239" i="7" a="1"/>
  <c r="P239" i="7" s="1"/>
  <c r="Q239" i="7" s="1"/>
  <c r="P238" i="7" a="1"/>
  <c r="P238" i="7" s="1"/>
  <c r="Q238" i="7" s="1"/>
  <c r="P237" i="7" a="1"/>
  <c r="P237" i="7" s="1"/>
  <c r="Q237" i="7" s="1"/>
  <c r="P236" i="7" a="1"/>
  <c r="P236" i="7" s="1"/>
  <c r="Q236" i="7" s="1"/>
  <c r="P235" i="7" a="1"/>
  <c r="P235" i="7" s="1"/>
  <c r="Q235" i="7" s="1"/>
  <c r="P234" i="7" a="1"/>
  <c r="P234" i="7" s="1"/>
  <c r="Q234" i="7" s="1"/>
  <c r="P233" i="7" a="1"/>
  <c r="P233" i="7" s="1"/>
  <c r="Q233" i="7" s="1"/>
  <c r="P232" i="7" a="1"/>
  <c r="P232" i="7" s="1"/>
  <c r="Q232" i="7" s="1"/>
  <c r="P231" i="7" a="1"/>
  <c r="P231" i="7" s="1"/>
  <c r="Q231" i="7" s="1"/>
  <c r="P230" i="7" a="1"/>
  <c r="P230" i="7" s="1"/>
  <c r="Q230" i="7" s="1"/>
  <c r="P229" i="7" a="1"/>
  <c r="P229" i="7" s="1"/>
  <c r="Q229" i="7" s="1"/>
  <c r="P228" i="7" a="1"/>
  <c r="P228" i="7" s="1"/>
  <c r="Q228" i="7" s="1"/>
  <c r="P227" i="7" a="1"/>
  <c r="P227" i="7" s="1"/>
  <c r="Q227" i="7" s="1"/>
  <c r="P226" i="7" a="1"/>
  <c r="P226" i="7" s="1"/>
  <c r="Q226" i="7" s="1"/>
  <c r="P225" i="7" a="1"/>
  <c r="P225" i="7" s="1"/>
  <c r="Q225" i="7" s="1"/>
  <c r="P224" i="7" a="1"/>
  <c r="P224" i="7" s="1"/>
  <c r="Q224" i="7" s="1"/>
  <c r="P223" i="7" a="1"/>
  <c r="P223" i="7" s="1"/>
  <c r="Q223" i="7" s="1"/>
  <c r="P222" i="7" a="1"/>
  <c r="P222" i="7" s="1"/>
  <c r="Q222" i="7" s="1"/>
  <c r="P221" i="7" a="1"/>
  <c r="P221" i="7" s="1"/>
  <c r="Q221" i="7" s="1"/>
  <c r="P220" i="7" a="1"/>
  <c r="P220" i="7" s="1"/>
  <c r="Q220" i="7" s="1"/>
  <c r="P219" i="7" a="1"/>
  <c r="P219" i="7" s="1"/>
  <c r="Q219" i="7" s="1"/>
  <c r="P218" i="7" a="1"/>
  <c r="P218" i="7" s="1"/>
  <c r="Q218" i="7" s="1"/>
  <c r="P217" i="7" a="1"/>
  <c r="P217" i="7" s="1"/>
  <c r="Q217" i="7" s="1"/>
  <c r="P216" i="7" a="1"/>
  <c r="P216" i="7" s="1"/>
  <c r="Q216" i="7" s="1"/>
  <c r="P215" i="7" a="1"/>
  <c r="P215" i="7" s="1"/>
  <c r="Q215" i="7" s="1"/>
  <c r="P214" i="7" a="1"/>
  <c r="P214" i="7" s="1"/>
  <c r="Q214" i="7" s="1"/>
  <c r="P213" i="7" a="1"/>
  <c r="P213" i="7" s="1"/>
  <c r="Q213" i="7" s="1"/>
  <c r="P212" i="7" a="1"/>
  <c r="P212" i="7" s="1"/>
  <c r="Q212" i="7" s="1"/>
  <c r="P211" i="7" a="1"/>
  <c r="P211" i="7" s="1"/>
  <c r="Q211" i="7" s="1"/>
  <c r="P210" i="7" a="1"/>
  <c r="P210" i="7" s="1"/>
  <c r="Q210" i="7" s="1"/>
  <c r="P209" i="7" a="1"/>
  <c r="P209" i="7" s="1"/>
  <c r="Q209" i="7" s="1"/>
  <c r="P208" i="7"/>
  <c r="Q208" i="7" s="1"/>
  <c r="P208" i="7" a="1"/>
  <c r="P207" i="7" a="1"/>
  <c r="P207" i="7" s="1"/>
  <c r="Q207" i="7" s="1"/>
  <c r="P206" i="7" a="1"/>
  <c r="P206" i="7" s="1"/>
  <c r="Q206" i="7" s="1"/>
  <c r="P205" i="7" a="1"/>
  <c r="P205" i="7" s="1"/>
  <c r="Q205" i="7" s="1"/>
  <c r="P204" i="7" a="1"/>
  <c r="P204" i="7" s="1"/>
  <c r="Q204" i="7" s="1"/>
  <c r="P203" i="7" a="1"/>
  <c r="P203" i="7" s="1"/>
  <c r="Q203" i="7" s="1"/>
  <c r="P202" i="7" a="1"/>
  <c r="P202" i="7" s="1"/>
  <c r="Q202" i="7" s="1"/>
  <c r="P201" i="7" a="1"/>
  <c r="P201" i="7" s="1"/>
  <c r="Q201" i="7" s="1"/>
  <c r="P200" i="7" a="1"/>
  <c r="P200" i="7" s="1"/>
  <c r="Q200" i="7" s="1"/>
  <c r="P199" i="7" a="1"/>
  <c r="P199" i="7" s="1"/>
  <c r="Q199" i="7" s="1"/>
  <c r="P198" i="7" a="1"/>
  <c r="P198" i="7" s="1"/>
  <c r="Q198" i="7" s="1"/>
  <c r="P197" i="7" a="1"/>
  <c r="P197" i="7" s="1"/>
  <c r="Q197" i="7" s="1"/>
  <c r="P196" i="7" a="1"/>
  <c r="P196" i="7" s="1"/>
  <c r="Q196" i="7" s="1"/>
  <c r="P195" i="7" a="1"/>
  <c r="P195" i="7" s="1"/>
  <c r="Q195" i="7" s="1"/>
  <c r="P194" i="7" a="1"/>
  <c r="P194" i="7" s="1"/>
  <c r="Q194" i="7" s="1"/>
  <c r="P193" i="7" a="1"/>
  <c r="P193" i="7" s="1"/>
  <c r="Q193" i="7" s="1"/>
  <c r="P192" i="7" a="1"/>
  <c r="P192" i="7" s="1"/>
  <c r="Q192" i="7" s="1"/>
  <c r="P191" i="7" a="1"/>
  <c r="P191" i="7" s="1"/>
  <c r="Q191" i="7" s="1"/>
  <c r="P190" i="7" a="1"/>
  <c r="P190" i="7" s="1"/>
  <c r="Q190" i="7" s="1"/>
  <c r="P189" i="7" a="1"/>
  <c r="P189" i="7" s="1"/>
  <c r="Q189" i="7" s="1"/>
  <c r="P188" i="7" a="1"/>
  <c r="P188" i="7" s="1"/>
  <c r="Q188" i="7" s="1"/>
  <c r="P187" i="7" a="1"/>
  <c r="P187" i="7" s="1"/>
  <c r="Q187" i="7" s="1"/>
  <c r="P186" i="7" a="1"/>
  <c r="P186" i="7" s="1"/>
  <c r="Q186" i="7" s="1"/>
  <c r="P185" i="7" a="1"/>
  <c r="P185" i="7" s="1"/>
  <c r="Q185" i="7" s="1"/>
  <c r="P184" i="7" a="1"/>
  <c r="P184" i="7" s="1"/>
  <c r="Q184" i="7" s="1"/>
  <c r="P183" i="7" a="1"/>
  <c r="P183" i="7" s="1"/>
  <c r="Q183" i="7" s="1"/>
  <c r="P182" i="7" a="1"/>
  <c r="P182" i="7" s="1"/>
  <c r="Q182" i="7" s="1"/>
  <c r="P181" i="7" a="1"/>
  <c r="P181" i="7" s="1"/>
  <c r="Q181" i="7" s="1"/>
  <c r="P180" i="7" a="1"/>
  <c r="P180" i="7" s="1"/>
  <c r="Q180" i="7" s="1"/>
  <c r="P179" i="7" a="1"/>
  <c r="P179" i="7" s="1"/>
  <c r="Q179" i="7" s="1"/>
  <c r="P178" i="7" a="1"/>
  <c r="P178" i="7" s="1"/>
  <c r="Q178" i="7" s="1"/>
  <c r="P177" i="7" a="1"/>
  <c r="P177" i="7" s="1"/>
  <c r="Q177" i="7" s="1"/>
  <c r="P176" i="7" a="1"/>
  <c r="P176" i="7" s="1"/>
  <c r="Q176" i="7" s="1"/>
  <c r="P175" i="7" a="1"/>
  <c r="P175" i="7" s="1"/>
  <c r="Q175" i="7" s="1"/>
  <c r="P174" i="7" a="1"/>
  <c r="P174" i="7" s="1"/>
  <c r="Q174" i="7" s="1"/>
  <c r="P173" i="7" a="1"/>
  <c r="P173" i="7" s="1"/>
  <c r="Q173" i="7" s="1"/>
  <c r="P172" i="7" a="1"/>
  <c r="P172" i="7" s="1"/>
  <c r="Q172" i="7" s="1"/>
  <c r="P171" i="7" a="1"/>
  <c r="P171" i="7" s="1"/>
  <c r="Q171" i="7" s="1"/>
  <c r="P170" i="7" a="1"/>
  <c r="P170" i="7" s="1"/>
  <c r="Q170" i="7" s="1"/>
  <c r="P169" i="7" a="1"/>
  <c r="P169" i="7" s="1"/>
  <c r="Q169" i="7" s="1"/>
  <c r="P168" i="7" a="1"/>
  <c r="P168" i="7" s="1"/>
  <c r="Q168" i="7" s="1"/>
  <c r="P167" i="7" a="1"/>
  <c r="P167" i="7" s="1"/>
  <c r="Q167" i="7" s="1"/>
  <c r="P166" i="7" a="1"/>
  <c r="P166" i="7" s="1"/>
  <c r="Q166" i="7" s="1"/>
  <c r="P165" i="7" a="1"/>
  <c r="P165" i="7" s="1"/>
  <c r="Q165" i="7" s="1"/>
  <c r="P164" i="7" a="1"/>
  <c r="P164" i="7" s="1"/>
  <c r="Q164" i="7" s="1"/>
  <c r="P163" i="7" a="1"/>
  <c r="P163" i="7" s="1"/>
  <c r="Q163" i="7" s="1"/>
  <c r="P162" i="7" a="1"/>
  <c r="P162" i="7" s="1"/>
  <c r="Q162" i="7" s="1"/>
  <c r="P161" i="7" a="1"/>
  <c r="P161" i="7" s="1"/>
  <c r="Q161" i="7" s="1"/>
  <c r="P160" i="7" a="1"/>
  <c r="P160" i="7" s="1"/>
  <c r="Q160" i="7" s="1"/>
  <c r="P159" i="7" a="1"/>
  <c r="P159" i="7" s="1"/>
  <c r="Q159" i="7" s="1"/>
  <c r="P158" i="7" a="1"/>
  <c r="P158" i="7" s="1"/>
  <c r="Q158" i="7" s="1"/>
  <c r="P157" i="7" a="1"/>
  <c r="P157" i="7" s="1"/>
  <c r="Q157" i="7" s="1"/>
  <c r="P156" i="7"/>
  <c r="Q156" i="7" s="1"/>
  <c r="P156" i="7" a="1"/>
  <c r="P155" i="7" a="1"/>
  <c r="P155" i="7" s="1"/>
  <c r="Q155" i="7" s="1"/>
  <c r="P154" i="7" a="1"/>
  <c r="P154" i="7" s="1"/>
  <c r="Q154" i="7" s="1"/>
  <c r="P153" i="7" a="1"/>
  <c r="P153" i="7" s="1"/>
  <c r="Q153" i="7" s="1"/>
  <c r="P152" i="7" a="1"/>
  <c r="P152" i="7" s="1"/>
  <c r="Q152" i="7" s="1"/>
  <c r="P151" i="7" a="1"/>
  <c r="P151" i="7" s="1"/>
  <c r="Q151" i="7" s="1"/>
  <c r="P150" i="7" a="1"/>
  <c r="P150" i="7" s="1"/>
  <c r="Q150" i="7" s="1"/>
  <c r="P149" i="7" a="1"/>
  <c r="P149" i="7" s="1"/>
  <c r="Q149" i="7" s="1"/>
  <c r="P148" i="7" a="1"/>
  <c r="P148" i="7" s="1"/>
  <c r="Q148" i="7" s="1"/>
  <c r="P147" i="7" a="1"/>
  <c r="P147" i="7" s="1"/>
  <c r="Q147" i="7" s="1"/>
  <c r="P146" i="7" a="1"/>
  <c r="P146" i="7" s="1"/>
  <c r="Q146" i="7" s="1"/>
  <c r="P145" i="7" a="1"/>
  <c r="P145" i="7" s="1"/>
  <c r="Q145" i="7" s="1"/>
  <c r="P144" i="7" a="1"/>
  <c r="P144" i="7" s="1"/>
  <c r="Q144" i="7" s="1"/>
  <c r="P143" i="7" a="1"/>
  <c r="P143" i="7" s="1"/>
  <c r="Q143" i="7" s="1"/>
  <c r="P142" i="7" a="1"/>
  <c r="P142" i="7" s="1"/>
  <c r="Q142" i="7" s="1"/>
  <c r="P141" i="7" a="1"/>
  <c r="P141" i="7" s="1"/>
  <c r="Q141" i="7" s="1"/>
  <c r="P140" i="7" a="1"/>
  <c r="P140" i="7" s="1"/>
  <c r="Q140" i="7" s="1"/>
  <c r="P139" i="7" a="1"/>
  <c r="P139" i="7" s="1"/>
  <c r="Q139" i="7" s="1"/>
  <c r="P138" i="7" a="1"/>
  <c r="P138" i="7" s="1"/>
  <c r="Q138" i="7" s="1"/>
  <c r="P137" i="7" a="1"/>
  <c r="P137" i="7" s="1"/>
  <c r="Q137" i="7" s="1"/>
  <c r="P136" i="7" a="1"/>
  <c r="P136" i="7" s="1"/>
  <c r="Q136" i="7" s="1"/>
  <c r="P135" i="7" a="1"/>
  <c r="P135" i="7" s="1"/>
  <c r="Q135" i="7" s="1"/>
  <c r="P134" i="7" a="1"/>
  <c r="P134" i="7" s="1"/>
  <c r="Q134" i="7" s="1"/>
  <c r="P133" i="7" a="1"/>
  <c r="P133" i="7" s="1"/>
  <c r="Q133" i="7" s="1"/>
  <c r="P132" i="7" a="1"/>
  <c r="P132" i="7" s="1"/>
  <c r="Q132" i="7" s="1"/>
  <c r="P131" i="7" a="1"/>
  <c r="P131" i="7" s="1"/>
  <c r="Q131" i="7" s="1"/>
  <c r="P130" i="7" a="1"/>
  <c r="P130" i="7" s="1"/>
  <c r="Q130" i="7" s="1"/>
  <c r="P129" i="7" a="1"/>
  <c r="P129" i="7" s="1"/>
  <c r="Q129" i="7" s="1"/>
  <c r="P128" i="7" a="1"/>
  <c r="P128" i="7" s="1"/>
  <c r="Q128" i="7" s="1"/>
  <c r="P127" i="7" a="1"/>
  <c r="P127" i="7" s="1"/>
  <c r="Q127" i="7" s="1"/>
  <c r="P126" i="7" a="1"/>
  <c r="P126" i="7" s="1"/>
  <c r="Q126" i="7" s="1"/>
  <c r="P125" i="7" a="1"/>
  <c r="P125" i="7" s="1"/>
  <c r="Q125" i="7" s="1"/>
  <c r="P124" i="7" a="1"/>
  <c r="P124" i="7" s="1"/>
  <c r="Q124" i="7" s="1"/>
  <c r="P123" i="7" a="1"/>
  <c r="P123" i="7" s="1"/>
  <c r="Q123" i="7" s="1"/>
  <c r="P122" i="7" a="1"/>
  <c r="P122" i="7" s="1"/>
  <c r="Q122" i="7" s="1"/>
  <c r="P121" i="7" a="1"/>
  <c r="P121" i="7" s="1"/>
  <c r="Q121" i="7" s="1"/>
  <c r="P120" i="7" a="1"/>
  <c r="P120" i="7" s="1"/>
  <c r="Q120" i="7" s="1"/>
  <c r="P119" i="7" a="1"/>
  <c r="P119" i="7" s="1"/>
  <c r="Q119" i="7" s="1"/>
  <c r="P118" i="7" a="1"/>
  <c r="P118" i="7" s="1"/>
  <c r="Q118" i="7" s="1"/>
  <c r="P117" i="7" a="1"/>
  <c r="P117" i="7" s="1"/>
  <c r="Q117" i="7" s="1"/>
  <c r="P116" i="7" a="1"/>
  <c r="P116" i="7" s="1"/>
  <c r="Q116" i="7" s="1"/>
  <c r="P115" i="7" a="1"/>
  <c r="P115" i="7" s="1"/>
  <c r="Q115" i="7" s="1"/>
  <c r="P114" i="7" a="1"/>
  <c r="P114" i="7" s="1"/>
  <c r="Q114" i="7" s="1"/>
  <c r="P113" i="7" a="1"/>
  <c r="P113" i="7" s="1"/>
  <c r="Q113" i="7" s="1"/>
  <c r="P112" i="7" a="1"/>
  <c r="P112" i="7" s="1"/>
  <c r="Q112" i="7" s="1"/>
  <c r="P111" i="7" a="1"/>
  <c r="P111" i="7" s="1"/>
  <c r="Q111" i="7" s="1"/>
  <c r="P110" i="7" a="1"/>
  <c r="P110" i="7" s="1"/>
  <c r="Q110" i="7" s="1"/>
  <c r="P109" i="7" a="1"/>
  <c r="P109" i="7" s="1"/>
  <c r="Q109" i="7" s="1"/>
  <c r="P108" i="7" a="1"/>
  <c r="P108" i="7" s="1"/>
  <c r="Q108" i="7" s="1"/>
  <c r="P107" i="7" a="1"/>
  <c r="P107" i="7" s="1"/>
  <c r="Q107" i="7" s="1"/>
  <c r="P106" i="7" a="1"/>
  <c r="P106" i="7" s="1"/>
  <c r="Q106" i="7" s="1"/>
  <c r="P105" i="7" a="1"/>
  <c r="P105" i="7" s="1"/>
  <c r="Q105" i="7" s="1"/>
  <c r="P104" i="7" a="1"/>
  <c r="P104" i="7" s="1"/>
  <c r="Q104" i="7" s="1"/>
  <c r="P103" i="7" a="1"/>
  <c r="P103" i="7" s="1"/>
  <c r="Q103" i="7" s="1"/>
  <c r="P102" i="7" a="1"/>
  <c r="P102" i="7" s="1"/>
  <c r="Q102" i="7" s="1"/>
  <c r="P101" i="7" a="1"/>
  <c r="P101" i="7" s="1"/>
  <c r="Q101" i="7" s="1"/>
  <c r="P100" i="7" a="1"/>
  <c r="P100" i="7" s="1"/>
  <c r="Q100" i="7" s="1"/>
  <c r="P99" i="7"/>
  <c r="Q99" i="7" s="1"/>
  <c r="P99" i="7" a="1"/>
  <c r="P98" i="7" a="1"/>
  <c r="P98" i="7" s="1"/>
  <c r="Q98" i="7" s="1"/>
  <c r="P97" i="7" a="1"/>
  <c r="P97" i="7" s="1"/>
  <c r="Q97" i="7" s="1"/>
  <c r="P96" i="7" a="1"/>
  <c r="P96" i="7" s="1"/>
  <c r="Q96" i="7" s="1"/>
  <c r="P95" i="7" a="1"/>
  <c r="P95" i="7" s="1"/>
  <c r="Q95" i="7" s="1"/>
  <c r="P94" i="7" a="1"/>
  <c r="P94" i="7" s="1"/>
  <c r="Q94" i="7" s="1"/>
  <c r="P93" i="7" a="1"/>
  <c r="P93" i="7" s="1"/>
  <c r="Q93" i="7" s="1"/>
  <c r="P92" i="7"/>
  <c r="Q92" i="7" s="1"/>
  <c r="P92" i="7" a="1"/>
  <c r="P91" i="7" a="1"/>
  <c r="P91" i="7" s="1"/>
  <c r="P90" i="7" a="1"/>
  <c r="P90" i="7" s="1"/>
  <c r="Q90" i="7" s="1"/>
  <c r="P89" i="7" a="1"/>
  <c r="P89" i="7" s="1"/>
  <c r="Q89" i="7" s="1"/>
  <c r="P88" i="7" a="1"/>
  <c r="P88" i="7" s="1"/>
  <c r="Q88" i="7" s="1"/>
  <c r="P87" i="7" a="1"/>
  <c r="P87" i="7" s="1"/>
  <c r="Q87" i="7" s="1"/>
  <c r="P86" i="7" a="1"/>
  <c r="P86" i="7" s="1"/>
  <c r="Q86" i="7" s="1"/>
  <c r="P85" i="7" a="1"/>
  <c r="P85" i="7" s="1"/>
  <c r="Q85" i="7" s="1"/>
  <c r="P84" i="7" a="1"/>
  <c r="P84" i="7" s="1"/>
  <c r="Q84" i="7" s="1"/>
  <c r="P83" i="7" a="1"/>
  <c r="P83" i="7" s="1"/>
  <c r="Q83" i="7" s="1"/>
  <c r="P82" i="7" a="1"/>
  <c r="P82" i="7" s="1"/>
  <c r="Q82" i="7" s="1"/>
  <c r="P81" i="7" a="1"/>
  <c r="P81" i="7" s="1"/>
  <c r="Q81" i="7" s="1"/>
  <c r="P80" i="7" a="1"/>
  <c r="P80" i="7" s="1"/>
  <c r="Q80" i="7" s="1"/>
  <c r="P79" i="7" a="1"/>
  <c r="P79" i="7" s="1"/>
  <c r="Q79" i="7" s="1"/>
  <c r="P78" i="7" a="1"/>
  <c r="P78" i="7" s="1"/>
  <c r="Q78" i="7" s="1"/>
  <c r="P77" i="7" a="1"/>
  <c r="P77" i="7" s="1"/>
  <c r="Q77" i="7" s="1"/>
  <c r="P76" i="7" a="1"/>
  <c r="P76" i="7" s="1"/>
  <c r="Q76" i="7" s="1"/>
  <c r="P75" i="7" a="1"/>
  <c r="P75" i="7" s="1"/>
  <c r="Q75" i="7" s="1"/>
  <c r="P74" i="7" a="1"/>
  <c r="P74" i="7" s="1"/>
  <c r="Q74" i="7" s="1"/>
  <c r="P73" i="7" a="1"/>
  <c r="P73" i="7" s="1"/>
  <c r="Q73" i="7" s="1"/>
  <c r="P72" i="7" a="1"/>
  <c r="P72" i="7" s="1"/>
  <c r="Q72" i="7" s="1"/>
  <c r="P71" i="7" a="1"/>
  <c r="P71" i="7" s="1"/>
  <c r="Q71" i="7" s="1"/>
  <c r="P70" i="7" a="1"/>
  <c r="P70" i="7" s="1"/>
  <c r="Q70" i="7" s="1"/>
  <c r="P69" i="7" a="1"/>
  <c r="P69" i="7" s="1"/>
  <c r="Q69" i="7" s="1"/>
  <c r="P68" i="7" a="1"/>
  <c r="P68" i="7" s="1"/>
  <c r="Q68" i="7" s="1"/>
  <c r="P67" i="7" a="1"/>
  <c r="P67" i="7" s="1"/>
  <c r="Q67" i="7" s="1"/>
  <c r="P66" i="7" a="1"/>
  <c r="P66" i="7" s="1"/>
  <c r="Q66" i="7" s="1"/>
  <c r="P65" i="7" a="1"/>
  <c r="P65" i="7" s="1"/>
  <c r="Q65" i="7" s="1"/>
  <c r="P64" i="7" a="1"/>
  <c r="P64" i="7" s="1"/>
  <c r="Q64" i="7" s="1"/>
  <c r="P63" i="7" a="1"/>
  <c r="P63" i="7" s="1"/>
  <c r="Q63" i="7" s="1"/>
  <c r="P62" i="7" a="1"/>
  <c r="P62" i="7" s="1"/>
  <c r="Q62" i="7" s="1"/>
  <c r="P61" i="7" a="1"/>
  <c r="P61" i="7" s="1"/>
  <c r="Q61" i="7" s="1"/>
  <c r="P60" i="7" a="1"/>
  <c r="P60" i="7" s="1"/>
  <c r="Q60" i="7" s="1"/>
  <c r="P59" i="7" a="1"/>
  <c r="P59" i="7" s="1"/>
  <c r="Q59" i="7" s="1"/>
  <c r="P58" i="7" a="1"/>
  <c r="P58" i="7" s="1"/>
  <c r="Q58" i="7" s="1"/>
  <c r="P57" i="7" a="1"/>
  <c r="P57" i="7" s="1"/>
  <c r="Q57" i="7" s="1"/>
  <c r="P56" i="7" a="1"/>
  <c r="P56" i="7" s="1"/>
  <c r="Q56" i="7" s="1"/>
  <c r="P55" i="7" a="1"/>
  <c r="P55" i="7" s="1"/>
  <c r="Q55" i="7" s="1"/>
  <c r="P54" i="7" a="1"/>
  <c r="P54" i="7" s="1"/>
  <c r="Q54" i="7" s="1"/>
  <c r="P53" i="7" a="1"/>
  <c r="P53" i="7" s="1"/>
  <c r="Q53" i="7" s="1"/>
  <c r="P52" i="7" a="1"/>
  <c r="P52" i="7" s="1"/>
  <c r="Q52" i="7" s="1"/>
  <c r="P51" i="7" a="1"/>
  <c r="P51" i="7" s="1"/>
  <c r="Q51" i="7" s="1"/>
  <c r="P50" i="7" a="1"/>
  <c r="P50" i="7" s="1"/>
  <c r="Q50" i="7" s="1"/>
  <c r="P49" i="7" a="1"/>
  <c r="P49" i="7" s="1"/>
  <c r="Q49" i="7" s="1"/>
  <c r="P48" i="7" a="1"/>
  <c r="P48" i="7" s="1"/>
  <c r="Q48" i="7" s="1"/>
  <c r="P47" i="7" a="1"/>
  <c r="P47" i="7" s="1"/>
  <c r="Q47" i="7" s="1"/>
  <c r="P46" i="7" a="1"/>
  <c r="P46" i="7" s="1"/>
  <c r="Q46" i="7" s="1"/>
  <c r="P45" i="7" a="1"/>
  <c r="P45" i="7" s="1"/>
  <c r="Q45" i="7" s="1"/>
  <c r="P44" i="7" a="1"/>
  <c r="P44" i="7" s="1"/>
  <c r="Q44" i="7" s="1"/>
  <c r="P43" i="7" a="1"/>
  <c r="P43" i="7" s="1"/>
  <c r="Q43" i="7" s="1"/>
  <c r="P42" i="7" a="1"/>
  <c r="P42" i="7" s="1"/>
  <c r="Q42" i="7" s="1"/>
  <c r="P41" i="7" a="1"/>
  <c r="P41" i="7" s="1"/>
  <c r="Q41" i="7" s="1"/>
  <c r="P40" i="7" a="1"/>
  <c r="P40" i="7" s="1"/>
  <c r="Q40" i="7" s="1"/>
  <c r="P39" i="7" a="1"/>
  <c r="P39" i="7" s="1"/>
  <c r="Q39" i="7" s="1"/>
  <c r="P38" i="7" a="1"/>
  <c r="P38" i="7" s="1"/>
  <c r="Q38" i="7" s="1"/>
  <c r="P37" i="7" a="1"/>
  <c r="P37" i="7" s="1"/>
  <c r="Q37" i="7" s="1"/>
  <c r="P36" i="7" a="1"/>
  <c r="P36" i="7" s="1"/>
  <c r="Q36" i="7" s="1"/>
  <c r="P35" i="7" a="1"/>
  <c r="P35" i="7" s="1"/>
  <c r="Q35" i="7" s="1"/>
  <c r="P34" i="7" a="1"/>
  <c r="P34" i="7" s="1"/>
  <c r="Q34" i="7" s="1"/>
  <c r="P33" i="7" a="1"/>
  <c r="P33" i="7" s="1"/>
  <c r="Q33" i="7" s="1"/>
  <c r="P32" i="7" a="1"/>
  <c r="P32" i="7" s="1"/>
  <c r="Q32" i="7" s="1"/>
  <c r="P31" i="7" a="1"/>
  <c r="P31" i="7" s="1"/>
  <c r="Q31" i="7" s="1"/>
  <c r="P30" i="7" a="1"/>
  <c r="P30" i="7" s="1"/>
  <c r="Q30" i="7" s="1"/>
  <c r="P29" i="7" a="1"/>
  <c r="P29" i="7" s="1"/>
  <c r="Q29" i="7" s="1"/>
  <c r="P28" i="7" a="1"/>
  <c r="P28" i="7" s="1"/>
  <c r="Q28" i="7" s="1"/>
  <c r="J326" i="7" a="1"/>
  <c r="J326" i="7" s="1"/>
  <c r="I326" i="7" a="1"/>
  <c r="I326" i="7" s="1"/>
  <c r="J325" i="7" a="1"/>
  <c r="J325" i="7" s="1"/>
  <c r="I325" i="7" a="1"/>
  <c r="I325" i="7" s="1"/>
  <c r="J324" i="7" a="1"/>
  <c r="J324" i="7" s="1"/>
  <c r="I324" i="7" a="1"/>
  <c r="I324" i="7" s="1"/>
  <c r="J323" i="7" a="1"/>
  <c r="J323" i="7" s="1"/>
  <c r="I323" i="7" a="1"/>
  <c r="I323" i="7" s="1"/>
  <c r="J322" i="7" a="1"/>
  <c r="J322" i="7" s="1"/>
  <c r="I322" i="7" a="1"/>
  <c r="I322" i="7" s="1"/>
  <c r="J321" i="7" a="1"/>
  <c r="J321" i="7" s="1"/>
  <c r="I321" i="7" a="1"/>
  <c r="I321" i="7" s="1"/>
  <c r="J320" i="7" a="1"/>
  <c r="J320" i="7" s="1"/>
  <c r="I320" i="7" a="1"/>
  <c r="I320" i="7" s="1"/>
  <c r="J319" i="7" a="1"/>
  <c r="J319" i="7" s="1"/>
  <c r="I319" i="7" a="1"/>
  <c r="I319" i="7" s="1"/>
  <c r="J318" i="7" a="1"/>
  <c r="J318" i="7" s="1"/>
  <c r="I318" i="7" a="1"/>
  <c r="I318" i="7" s="1"/>
  <c r="J317" i="7" a="1"/>
  <c r="J317" i="7" s="1"/>
  <c r="I317" i="7" a="1"/>
  <c r="I317" i="7" s="1"/>
  <c r="J316" i="7" a="1"/>
  <c r="J316" i="7" s="1"/>
  <c r="I316" i="7" a="1"/>
  <c r="I316" i="7" s="1"/>
  <c r="J315" i="7" a="1"/>
  <c r="J315" i="7" s="1"/>
  <c r="I315" i="7" a="1"/>
  <c r="I315" i="7" s="1"/>
  <c r="J314" i="7" a="1"/>
  <c r="J314" i="7" s="1"/>
  <c r="I314" i="7" a="1"/>
  <c r="I314" i="7" s="1"/>
  <c r="J313" i="7" a="1"/>
  <c r="J313" i="7" s="1"/>
  <c r="I313" i="7" a="1"/>
  <c r="I313" i="7" s="1"/>
  <c r="J312" i="7" a="1"/>
  <c r="J312" i="7" s="1"/>
  <c r="I312" i="7" a="1"/>
  <c r="I312" i="7" s="1"/>
  <c r="J311" i="7" a="1"/>
  <c r="J311" i="7" s="1"/>
  <c r="I311" i="7" a="1"/>
  <c r="I311" i="7" s="1"/>
  <c r="J310" i="7" a="1"/>
  <c r="J310" i="7" s="1"/>
  <c r="I310" i="7" a="1"/>
  <c r="I310" i="7" s="1"/>
  <c r="J309" i="7" a="1"/>
  <c r="J309" i="7" s="1"/>
  <c r="I309" i="7" a="1"/>
  <c r="I309" i="7" s="1"/>
  <c r="J308" i="7" a="1"/>
  <c r="J308" i="7" s="1"/>
  <c r="I308" i="7" a="1"/>
  <c r="I308" i="7" s="1"/>
  <c r="J307" i="7" a="1"/>
  <c r="J307" i="7" s="1"/>
  <c r="I307" i="7" a="1"/>
  <c r="I307" i="7" s="1"/>
  <c r="J306" i="7" a="1"/>
  <c r="J306" i="7" s="1"/>
  <c r="I306" i="7" a="1"/>
  <c r="I306" i="7" s="1"/>
  <c r="J305" i="7" a="1"/>
  <c r="J305" i="7" s="1"/>
  <c r="I305" i="7" a="1"/>
  <c r="I305" i="7" s="1"/>
  <c r="J304" i="7" a="1"/>
  <c r="J304" i="7" s="1"/>
  <c r="I304" i="7" a="1"/>
  <c r="I304" i="7" s="1"/>
  <c r="J303" i="7" a="1"/>
  <c r="J303" i="7" s="1"/>
  <c r="I303" i="7" a="1"/>
  <c r="I303" i="7" s="1"/>
  <c r="J302" i="7" a="1"/>
  <c r="J302" i="7" s="1"/>
  <c r="I302" i="7" a="1"/>
  <c r="I302" i="7" s="1"/>
  <c r="J301" i="7" a="1"/>
  <c r="J301" i="7" s="1"/>
  <c r="I301" i="7" a="1"/>
  <c r="I301" i="7" s="1"/>
  <c r="J300" i="7" a="1"/>
  <c r="J300" i="7" s="1"/>
  <c r="I300" i="7" a="1"/>
  <c r="I300" i="7" s="1"/>
  <c r="J299" i="7" a="1"/>
  <c r="J299" i="7" s="1"/>
  <c r="I299" i="7" a="1"/>
  <c r="I299" i="7" s="1"/>
  <c r="J298" i="7" a="1"/>
  <c r="J298" i="7" s="1"/>
  <c r="I298" i="7" a="1"/>
  <c r="I298" i="7" s="1"/>
  <c r="J297" i="7" a="1"/>
  <c r="J297" i="7" s="1"/>
  <c r="I297" i="7" a="1"/>
  <c r="I297" i="7" s="1"/>
  <c r="J296" i="7" a="1"/>
  <c r="J296" i="7" s="1"/>
  <c r="I296" i="7" a="1"/>
  <c r="I296" i="7" s="1"/>
  <c r="J295" i="7" a="1"/>
  <c r="J295" i="7" s="1"/>
  <c r="I295" i="7" a="1"/>
  <c r="I295" i="7" s="1"/>
  <c r="J294" i="7" a="1"/>
  <c r="J294" i="7" s="1"/>
  <c r="I294" i="7" a="1"/>
  <c r="I294" i="7" s="1"/>
  <c r="J293" i="7" a="1"/>
  <c r="J293" i="7" s="1"/>
  <c r="I293" i="7" a="1"/>
  <c r="I293" i="7" s="1"/>
  <c r="J292" i="7" a="1"/>
  <c r="J292" i="7" s="1"/>
  <c r="I292" i="7" a="1"/>
  <c r="I292" i="7" s="1"/>
  <c r="J291" i="7" a="1"/>
  <c r="J291" i="7" s="1"/>
  <c r="I291" i="7" a="1"/>
  <c r="I291" i="7" s="1"/>
  <c r="J290" i="7" a="1"/>
  <c r="J290" i="7" s="1"/>
  <c r="I290" i="7" a="1"/>
  <c r="I290" i="7" s="1"/>
  <c r="J289" i="7" a="1"/>
  <c r="J289" i="7" s="1"/>
  <c r="I289" i="7" a="1"/>
  <c r="I289" i="7" s="1"/>
  <c r="J288" i="7" a="1"/>
  <c r="J288" i="7" s="1"/>
  <c r="I288" i="7" a="1"/>
  <c r="I288" i="7" s="1"/>
  <c r="J287" i="7" a="1"/>
  <c r="J287" i="7" s="1"/>
  <c r="I287" i="7" a="1"/>
  <c r="I287" i="7" s="1"/>
  <c r="J286" i="7" a="1"/>
  <c r="J286" i="7" s="1"/>
  <c r="I286" i="7" a="1"/>
  <c r="I286" i="7" s="1"/>
  <c r="J285" i="7" a="1"/>
  <c r="J285" i="7" s="1"/>
  <c r="I285" i="7" a="1"/>
  <c r="I285" i="7" s="1"/>
  <c r="J284" i="7" a="1"/>
  <c r="J284" i="7" s="1"/>
  <c r="I284" i="7" a="1"/>
  <c r="I284" i="7" s="1"/>
  <c r="J283" i="7" a="1"/>
  <c r="J283" i="7" s="1"/>
  <c r="I283" i="7" a="1"/>
  <c r="I283" i="7" s="1"/>
  <c r="J282" i="7" a="1"/>
  <c r="J282" i="7" s="1"/>
  <c r="I282" i="7" a="1"/>
  <c r="I282" i="7" s="1"/>
  <c r="J281" i="7" a="1"/>
  <c r="J281" i="7" s="1"/>
  <c r="I281" i="7" a="1"/>
  <c r="I281" i="7" s="1"/>
  <c r="J280" i="7" a="1"/>
  <c r="J280" i="7" s="1"/>
  <c r="I280" i="7" a="1"/>
  <c r="I280" i="7" s="1"/>
  <c r="J279" i="7" a="1"/>
  <c r="J279" i="7" s="1"/>
  <c r="I279" i="7" a="1"/>
  <c r="I279" i="7" s="1"/>
  <c r="J278" i="7" a="1"/>
  <c r="J278" i="7" s="1"/>
  <c r="I278" i="7" a="1"/>
  <c r="I278" i="7" s="1"/>
  <c r="J277" i="7" a="1"/>
  <c r="J277" i="7" s="1"/>
  <c r="I277" i="7" a="1"/>
  <c r="I277" i="7" s="1"/>
  <c r="J276" i="7" a="1"/>
  <c r="J276" i="7" s="1"/>
  <c r="I276" i="7" a="1"/>
  <c r="I276" i="7" s="1"/>
  <c r="J275" i="7" a="1"/>
  <c r="J275" i="7" s="1"/>
  <c r="I275" i="7" a="1"/>
  <c r="I275" i="7" s="1"/>
  <c r="J274" i="7" a="1"/>
  <c r="J274" i="7" s="1"/>
  <c r="I274" i="7" a="1"/>
  <c r="I274" i="7" s="1"/>
  <c r="J273" i="7" a="1"/>
  <c r="J273" i="7" s="1"/>
  <c r="I273" i="7" a="1"/>
  <c r="I273" i="7" s="1"/>
  <c r="J272" i="7" a="1"/>
  <c r="J272" i="7" s="1"/>
  <c r="I272" i="7" a="1"/>
  <c r="I272" i="7" s="1"/>
  <c r="J271" i="7" a="1"/>
  <c r="J271" i="7" s="1"/>
  <c r="I271" i="7" a="1"/>
  <c r="I271" i="7" s="1"/>
  <c r="J270" i="7" a="1"/>
  <c r="J270" i="7" s="1"/>
  <c r="I270" i="7" a="1"/>
  <c r="I270" i="7" s="1"/>
  <c r="J269" i="7" a="1"/>
  <c r="J269" i="7" s="1"/>
  <c r="I269" i="7" a="1"/>
  <c r="I269" i="7" s="1"/>
  <c r="J268" i="7" a="1"/>
  <c r="J268" i="7" s="1"/>
  <c r="I268" i="7" a="1"/>
  <c r="I268" i="7" s="1"/>
  <c r="J267" i="7" a="1"/>
  <c r="J267" i="7" s="1"/>
  <c r="I267" i="7" a="1"/>
  <c r="I267" i="7" s="1"/>
  <c r="J266" i="7" a="1"/>
  <c r="J266" i="7" s="1"/>
  <c r="I266" i="7" a="1"/>
  <c r="I266" i="7" s="1"/>
  <c r="J265" i="7" a="1"/>
  <c r="J265" i="7" s="1"/>
  <c r="I265" i="7" a="1"/>
  <c r="I265" i="7" s="1"/>
  <c r="J264" i="7" a="1"/>
  <c r="J264" i="7" s="1"/>
  <c r="I264" i="7" a="1"/>
  <c r="I264" i="7" s="1"/>
  <c r="J263" i="7" a="1"/>
  <c r="J263" i="7" s="1"/>
  <c r="I263" i="7" a="1"/>
  <c r="I263" i="7" s="1"/>
  <c r="J262" i="7" a="1"/>
  <c r="J262" i="7" s="1"/>
  <c r="I262" i="7" a="1"/>
  <c r="I262" i="7" s="1"/>
  <c r="J261" i="7" a="1"/>
  <c r="J261" i="7" s="1"/>
  <c r="I261" i="7" a="1"/>
  <c r="I261" i="7" s="1"/>
  <c r="J260" i="7" a="1"/>
  <c r="J260" i="7" s="1"/>
  <c r="I260" i="7" a="1"/>
  <c r="I260" i="7" s="1"/>
  <c r="J259" i="7" a="1"/>
  <c r="J259" i="7" s="1"/>
  <c r="I259" i="7" a="1"/>
  <c r="I259" i="7" s="1"/>
  <c r="J258" i="7" a="1"/>
  <c r="J258" i="7" s="1"/>
  <c r="I258" i="7" a="1"/>
  <c r="I258" i="7" s="1"/>
  <c r="J257" i="7" a="1"/>
  <c r="J257" i="7" s="1"/>
  <c r="I257" i="7" a="1"/>
  <c r="I257" i="7" s="1"/>
  <c r="J256" i="7" a="1"/>
  <c r="J256" i="7" s="1"/>
  <c r="I256" i="7" a="1"/>
  <c r="I256" i="7" s="1"/>
  <c r="J255" i="7" a="1"/>
  <c r="J255" i="7" s="1"/>
  <c r="I255" i="7" a="1"/>
  <c r="I255" i="7" s="1"/>
  <c r="J254" i="7" a="1"/>
  <c r="J254" i="7" s="1"/>
  <c r="I254" i="7" a="1"/>
  <c r="I254" i="7" s="1"/>
  <c r="J253" i="7" a="1"/>
  <c r="J253" i="7" s="1"/>
  <c r="I253" i="7" a="1"/>
  <c r="I253" i="7" s="1"/>
  <c r="J252" i="7" a="1"/>
  <c r="J252" i="7" s="1"/>
  <c r="I252" i="7" a="1"/>
  <c r="I252" i="7" s="1"/>
  <c r="J251" i="7" a="1"/>
  <c r="J251" i="7" s="1"/>
  <c r="I251" i="7" a="1"/>
  <c r="I251" i="7" s="1"/>
  <c r="J250" i="7" a="1"/>
  <c r="J250" i="7" s="1"/>
  <c r="I250" i="7" a="1"/>
  <c r="I250" i="7" s="1"/>
  <c r="J249" i="7" a="1"/>
  <c r="J249" i="7" s="1"/>
  <c r="I249" i="7" a="1"/>
  <c r="I249" i="7" s="1"/>
  <c r="J248" i="7" a="1"/>
  <c r="J248" i="7" s="1"/>
  <c r="I248" i="7" a="1"/>
  <c r="I248" i="7" s="1"/>
  <c r="J247" i="7" a="1"/>
  <c r="J247" i="7" s="1"/>
  <c r="I247" i="7" a="1"/>
  <c r="I247" i="7" s="1"/>
  <c r="J246" i="7" a="1"/>
  <c r="J246" i="7" s="1"/>
  <c r="I246" i="7" a="1"/>
  <c r="I246" i="7" s="1"/>
  <c r="J245" i="7" a="1"/>
  <c r="J245" i="7" s="1"/>
  <c r="I245" i="7" a="1"/>
  <c r="I245" i="7" s="1"/>
  <c r="J244" i="7" a="1"/>
  <c r="J244" i="7" s="1"/>
  <c r="I244" i="7" a="1"/>
  <c r="I244" i="7" s="1"/>
  <c r="J243" i="7" a="1"/>
  <c r="J243" i="7" s="1"/>
  <c r="I243" i="7" a="1"/>
  <c r="I243" i="7" s="1"/>
  <c r="J242" i="7" a="1"/>
  <c r="J242" i="7" s="1"/>
  <c r="I242" i="7" a="1"/>
  <c r="I242" i="7" s="1"/>
  <c r="J241" i="7" a="1"/>
  <c r="J241" i="7" s="1"/>
  <c r="I241" i="7" a="1"/>
  <c r="I241" i="7" s="1"/>
  <c r="J240" i="7" a="1"/>
  <c r="J240" i="7" s="1"/>
  <c r="I240" i="7" a="1"/>
  <c r="I240" i="7" s="1"/>
  <c r="J239" i="7" a="1"/>
  <c r="J239" i="7" s="1"/>
  <c r="I239" i="7" a="1"/>
  <c r="I239" i="7" s="1"/>
  <c r="J238" i="7" a="1"/>
  <c r="J238" i="7" s="1"/>
  <c r="I238" i="7" a="1"/>
  <c r="I238" i="7" s="1"/>
  <c r="J237" i="7" a="1"/>
  <c r="J237" i="7" s="1"/>
  <c r="I237" i="7" a="1"/>
  <c r="I237" i="7" s="1"/>
  <c r="J236" i="7" a="1"/>
  <c r="J236" i="7" s="1"/>
  <c r="I236" i="7" a="1"/>
  <c r="I236" i="7" s="1"/>
  <c r="J235" i="7" a="1"/>
  <c r="J235" i="7" s="1"/>
  <c r="I235" i="7" a="1"/>
  <c r="I235" i="7" s="1"/>
  <c r="J234" i="7" a="1"/>
  <c r="J234" i="7" s="1"/>
  <c r="I234" i="7" a="1"/>
  <c r="I234" i="7" s="1"/>
  <c r="J233" i="7" a="1"/>
  <c r="J233" i="7" s="1"/>
  <c r="I233" i="7" a="1"/>
  <c r="I233" i="7" s="1"/>
  <c r="J232" i="7" a="1"/>
  <c r="J232" i="7" s="1"/>
  <c r="I232" i="7" a="1"/>
  <c r="I232" i="7" s="1"/>
  <c r="J231" i="7" a="1"/>
  <c r="J231" i="7" s="1"/>
  <c r="I231" i="7" a="1"/>
  <c r="I231" i="7" s="1"/>
  <c r="J230" i="7" a="1"/>
  <c r="J230" i="7" s="1"/>
  <c r="I230" i="7" a="1"/>
  <c r="I230" i="7" s="1"/>
  <c r="J229" i="7" a="1"/>
  <c r="J229" i="7" s="1"/>
  <c r="I229" i="7" a="1"/>
  <c r="I229" i="7" s="1"/>
  <c r="J228" i="7" a="1"/>
  <c r="J228" i="7" s="1"/>
  <c r="I228" i="7" a="1"/>
  <c r="I228" i="7" s="1"/>
  <c r="J227" i="7" a="1"/>
  <c r="J227" i="7" s="1"/>
  <c r="I227" i="7" a="1"/>
  <c r="I227" i="7" s="1"/>
  <c r="J226" i="7" a="1"/>
  <c r="J226" i="7" s="1"/>
  <c r="I226" i="7" a="1"/>
  <c r="I226" i="7" s="1"/>
  <c r="J225" i="7" a="1"/>
  <c r="J225" i="7" s="1"/>
  <c r="I225" i="7" a="1"/>
  <c r="I225" i="7" s="1"/>
  <c r="J224" i="7" a="1"/>
  <c r="J224" i="7" s="1"/>
  <c r="I224" i="7" a="1"/>
  <c r="I224" i="7" s="1"/>
  <c r="J223" i="7" a="1"/>
  <c r="J223" i="7" s="1"/>
  <c r="I223" i="7" a="1"/>
  <c r="I223" i="7" s="1"/>
  <c r="J222" i="7" a="1"/>
  <c r="J222" i="7" s="1"/>
  <c r="I222" i="7" a="1"/>
  <c r="I222" i="7" s="1"/>
  <c r="J221" i="7" a="1"/>
  <c r="J221" i="7" s="1"/>
  <c r="I221" i="7" a="1"/>
  <c r="I221" i="7" s="1"/>
  <c r="J220" i="7" a="1"/>
  <c r="J220" i="7" s="1"/>
  <c r="I220" i="7" a="1"/>
  <c r="I220" i="7" s="1"/>
  <c r="J219" i="7" a="1"/>
  <c r="J219" i="7" s="1"/>
  <c r="I219" i="7" a="1"/>
  <c r="I219" i="7" s="1"/>
  <c r="J218" i="7" a="1"/>
  <c r="J218" i="7" s="1"/>
  <c r="I218" i="7" a="1"/>
  <c r="I218" i="7" s="1"/>
  <c r="J217" i="7" a="1"/>
  <c r="J217" i="7" s="1"/>
  <c r="I217" i="7" a="1"/>
  <c r="I217" i="7" s="1"/>
  <c r="J216" i="7" a="1"/>
  <c r="J216" i="7" s="1"/>
  <c r="I216" i="7" a="1"/>
  <c r="I216" i="7" s="1"/>
  <c r="J215" i="7" a="1"/>
  <c r="J215" i="7" s="1"/>
  <c r="I215" i="7" a="1"/>
  <c r="I215" i="7" s="1"/>
  <c r="J214" i="7" a="1"/>
  <c r="J214" i="7" s="1"/>
  <c r="I214" i="7" a="1"/>
  <c r="I214" i="7" s="1"/>
  <c r="J213" i="7" a="1"/>
  <c r="J213" i="7" s="1"/>
  <c r="I213" i="7" a="1"/>
  <c r="I213" i="7" s="1"/>
  <c r="J212" i="7" a="1"/>
  <c r="J212" i="7" s="1"/>
  <c r="I212" i="7" a="1"/>
  <c r="I212" i="7" s="1"/>
  <c r="J211" i="7" a="1"/>
  <c r="J211" i="7" s="1"/>
  <c r="I211" i="7" a="1"/>
  <c r="I211" i="7" s="1"/>
  <c r="J210" i="7" a="1"/>
  <c r="J210" i="7" s="1"/>
  <c r="I210" i="7" a="1"/>
  <c r="I210" i="7" s="1"/>
  <c r="J209" i="7" a="1"/>
  <c r="J209" i="7" s="1"/>
  <c r="I209" i="7" a="1"/>
  <c r="I209" i="7" s="1"/>
  <c r="J208" i="7" a="1"/>
  <c r="J208" i="7" s="1"/>
  <c r="I208" i="7" a="1"/>
  <c r="I208" i="7" s="1"/>
  <c r="J207" i="7" a="1"/>
  <c r="J207" i="7" s="1"/>
  <c r="I207" i="7" a="1"/>
  <c r="I207" i="7" s="1"/>
  <c r="J206" i="7" a="1"/>
  <c r="J206" i="7" s="1"/>
  <c r="I206" i="7" a="1"/>
  <c r="I206" i="7" s="1"/>
  <c r="J205" i="7" a="1"/>
  <c r="J205" i="7" s="1"/>
  <c r="I205" i="7" a="1"/>
  <c r="I205" i="7" s="1"/>
  <c r="J204" i="7" a="1"/>
  <c r="J204" i="7" s="1"/>
  <c r="I204" i="7" a="1"/>
  <c r="I204" i="7" s="1"/>
  <c r="J203" i="7" a="1"/>
  <c r="J203" i="7" s="1"/>
  <c r="I203" i="7" a="1"/>
  <c r="I203" i="7" s="1"/>
  <c r="J202" i="7" a="1"/>
  <c r="J202" i="7" s="1"/>
  <c r="I202" i="7" a="1"/>
  <c r="I202" i="7" s="1"/>
  <c r="J201" i="7" a="1"/>
  <c r="J201" i="7" s="1"/>
  <c r="I201" i="7" a="1"/>
  <c r="I201" i="7" s="1"/>
  <c r="J200" i="7" a="1"/>
  <c r="J200" i="7" s="1"/>
  <c r="I200" i="7" a="1"/>
  <c r="I200" i="7" s="1"/>
  <c r="J199" i="7" a="1"/>
  <c r="J199" i="7" s="1"/>
  <c r="I199" i="7" a="1"/>
  <c r="I199" i="7" s="1"/>
  <c r="J198" i="7" a="1"/>
  <c r="J198" i="7" s="1"/>
  <c r="I198" i="7" a="1"/>
  <c r="I198" i="7" s="1"/>
  <c r="J197" i="7" a="1"/>
  <c r="J197" i="7" s="1"/>
  <c r="I197" i="7" a="1"/>
  <c r="I197" i="7" s="1"/>
  <c r="J196" i="7" a="1"/>
  <c r="J196" i="7" s="1"/>
  <c r="I196" i="7" a="1"/>
  <c r="I196" i="7" s="1"/>
  <c r="J195" i="7" a="1"/>
  <c r="J195" i="7" s="1"/>
  <c r="I195" i="7" a="1"/>
  <c r="I195" i="7" s="1"/>
  <c r="J194" i="7" a="1"/>
  <c r="J194" i="7" s="1"/>
  <c r="I194" i="7" a="1"/>
  <c r="I194" i="7" s="1"/>
  <c r="J193" i="7" a="1"/>
  <c r="J193" i="7" s="1"/>
  <c r="I193" i="7" a="1"/>
  <c r="I193" i="7" s="1"/>
  <c r="J192" i="7" a="1"/>
  <c r="J192" i="7" s="1"/>
  <c r="I192" i="7" a="1"/>
  <c r="I192" i="7" s="1"/>
  <c r="J191" i="7" a="1"/>
  <c r="J191" i="7" s="1"/>
  <c r="I191" i="7" a="1"/>
  <c r="I191" i="7" s="1"/>
  <c r="J190" i="7" a="1"/>
  <c r="J190" i="7" s="1"/>
  <c r="I190" i="7" a="1"/>
  <c r="I190" i="7" s="1"/>
  <c r="J189" i="7" a="1"/>
  <c r="J189" i="7" s="1"/>
  <c r="I189" i="7" a="1"/>
  <c r="I189" i="7" s="1"/>
  <c r="J188" i="7" a="1"/>
  <c r="J188" i="7" s="1"/>
  <c r="I188" i="7" a="1"/>
  <c r="I188" i="7" s="1"/>
  <c r="J187" i="7" a="1"/>
  <c r="J187" i="7" s="1"/>
  <c r="I187" i="7" a="1"/>
  <c r="I187" i="7" s="1"/>
  <c r="J186" i="7" a="1"/>
  <c r="J186" i="7" s="1"/>
  <c r="I186" i="7" a="1"/>
  <c r="I186" i="7" s="1"/>
  <c r="J185" i="7" a="1"/>
  <c r="J185" i="7" s="1"/>
  <c r="I185" i="7" a="1"/>
  <c r="I185" i="7" s="1"/>
  <c r="J184" i="7" a="1"/>
  <c r="J184" i="7" s="1"/>
  <c r="I184" i="7" a="1"/>
  <c r="I184" i="7" s="1"/>
  <c r="J183" i="7" a="1"/>
  <c r="J183" i="7" s="1"/>
  <c r="I183" i="7" a="1"/>
  <c r="I183" i="7" s="1"/>
  <c r="J182" i="7" a="1"/>
  <c r="J182" i="7" s="1"/>
  <c r="I182" i="7" a="1"/>
  <c r="I182" i="7" s="1"/>
  <c r="J181" i="7" a="1"/>
  <c r="J181" i="7" s="1"/>
  <c r="I181" i="7" a="1"/>
  <c r="I181" i="7" s="1"/>
  <c r="J180" i="7" a="1"/>
  <c r="J180" i="7" s="1"/>
  <c r="I180" i="7" a="1"/>
  <c r="I180" i="7" s="1"/>
  <c r="J179" i="7" a="1"/>
  <c r="J179" i="7" s="1"/>
  <c r="I179" i="7" a="1"/>
  <c r="I179" i="7" s="1"/>
  <c r="J178" i="7" a="1"/>
  <c r="J178" i="7" s="1"/>
  <c r="I178" i="7" a="1"/>
  <c r="I178" i="7" s="1"/>
  <c r="J177" i="7" a="1"/>
  <c r="J177" i="7" s="1"/>
  <c r="I177" i="7" a="1"/>
  <c r="I177" i="7" s="1"/>
  <c r="J176" i="7" a="1"/>
  <c r="J176" i="7" s="1"/>
  <c r="I176" i="7" a="1"/>
  <c r="I176" i="7" s="1"/>
  <c r="J175" i="7" a="1"/>
  <c r="J175" i="7" s="1"/>
  <c r="I175" i="7" a="1"/>
  <c r="I175" i="7" s="1"/>
  <c r="J174" i="7" a="1"/>
  <c r="J174" i="7" s="1"/>
  <c r="I174" i="7" a="1"/>
  <c r="I174" i="7" s="1"/>
  <c r="J173" i="7" a="1"/>
  <c r="J173" i="7" s="1"/>
  <c r="I173" i="7" a="1"/>
  <c r="I173" i="7" s="1"/>
  <c r="J172" i="7" a="1"/>
  <c r="J172" i="7" s="1"/>
  <c r="I172" i="7" a="1"/>
  <c r="I172" i="7" s="1"/>
  <c r="J171" i="7" a="1"/>
  <c r="J171" i="7" s="1"/>
  <c r="I171" i="7" a="1"/>
  <c r="I171" i="7" s="1"/>
  <c r="J170" i="7" a="1"/>
  <c r="J170" i="7" s="1"/>
  <c r="I170" i="7" a="1"/>
  <c r="I170" i="7" s="1"/>
  <c r="J169" i="7" a="1"/>
  <c r="J169" i="7" s="1"/>
  <c r="I169" i="7" a="1"/>
  <c r="I169" i="7" s="1"/>
  <c r="J168" i="7" a="1"/>
  <c r="J168" i="7" s="1"/>
  <c r="I168" i="7" a="1"/>
  <c r="I168" i="7" s="1"/>
  <c r="J167" i="7" a="1"/>
  <c r="J167" i="7" s="1"/>
  <c r="I167" i="7" a="1"/>
  <c r="I167" i="7" s="1"/>
  <c r="J166" i="7" a="1"/>
  <c r="J166" i="7" s="1"/>
  <c r="I166" i="7" a="1"/>
  <c r="I166" i="7" s="1"/>
  <c r="J165" i="7" a="1"/>
  <c r="J165" i="7" s="1"/>
  <c r="I165" i="7" a="1"/>
  <c r="I165" i="7" s="1"/>
  <c r="J164" i="7" a="1"/>
  <c r="J164" i="7" s="1"/>
  <c r="I164" i="7" a="1"/>
  <c r="I164" i="7" s="1"/>
  <c r="J163" i="7" a="1"/>
  <c r="J163" i="7" s="1"/>
  <c r="I163" i="7" a="1"/>
  <c r="I163" i="7" s="1"/>
  <c r="J162" i="7" a="1"/>
  <c r="J162" i="7" s="1"/>
  <c r="I162" i="7" a="1"/>
  <c r="I162" i="7" s="1"/>
  <c r="J161" i="7" a="1"/>
  <c r="J161" i="7" s="1"/>
  <c r="I161" i="7" a="1"/>
  <c r="I161" i="7" s="1"/>
  <c r="J160" i="7" a="1"/>
  <c r="J160" i="7" s="1"/>
  <c r="I160" i="7" a="1"/>
  <c r="I160" i="7" s="1"/>
  <c r="J159" i="7" a="1"/>
  <c r="J159" i="7" s="1"/>
  <c r="I159" i="7" a="1"/>
  <c r="I159" i="7" s="1"/>
  <c r="J158" i="7" a="1"/>
  <c r="J158" i="7" s="1"/>
  <c r="I158" i="7" a="1"/>
  <c r="I158" i="7" s="1"/>
  <c r="J157" i="7" a="1"/>
  <c r="J157" i="7" s="1"/>
  <c r="I157" i="7" a="1"/>
  <c r="I157" i="7" s="1"/>
  <c r="J156" i="7" a="1"/>
  <c r="J156" i="7" s="1"/>
  <c r="I156" i="7" a="1"/>
  <c r="I156" i="7" s="1"/>
  <c r="J155" i="7" a="1"/>
  <c r="J155" i="7" s="1"/>
  <c r="I155" i="7" a="1"/>
  <c r="I155" i="7" s="1"/>
  <c r="J154" i="7" a="1"/>
  <c r="J154" i="7" s="1"/>
  <c r="I154" i="7" a="1"/>
  <c r="I154" i="7" s="1"/>
  <c r="J153" i="7" a="1"/>
  <c r="J153" i="7" s="1"/>
  <c r="I153" i="7" a="1"/>
  <c r="I153" i="7" s="1"/>
  <c r="J152" i="7" a="1"/>
  <c r="J152" i="7" s="1"/>
  <c r="I152" i="7" a="1"/>
  <c r="I152" i="7" s="1"/>
  <c r="J151" i="7" a="1"/>
  <c r="J151" i="7" s="1"/>
  <c r="I151" i="7" a="1"/>
  <c r="I151" i="7" s="1"/>
  <c r="J150" i="7" a="1"/>
  <c r="J150" i="7" s="1"/>
  <c r="I150" i="7" a="1"/>
  <c r="I150" i="7" s="1"/>
  <c r="J149" i="7" a="1"/>
  <c r="J149" i="7" s="1"/>
  <c r="I149" i="7" a="1"/>
  <c r="I149" i="7" s="1"/>
  <c r="J148" i="7" a="1"/>
  <c r="J148" i="7" s="1"/>
  <c r="I148" i="7" a="1"/>
  <c r="I148" i="7" s="1"/>
  <c r="J147" i="7" a="1"/>
  <c r="J147" i="7" s="1"/>
  <c r="I147" i="7" a="1"/>
  <c r="I147" i="7" s="1"/>
  <c r="J146" i="7" a="1"/>
  <c r="J146" i="7" s="1"/>
  <c r="I146" i="7" a="1"/>
  <c r="I146" i="7" s="1"/>
  <c r="J145" i="7" a="1"/>
  <c r="J145" i="7" s="1"/>
  <c r="I145" i="7" a="1"/>
  <c r="I145" i="7" s="1"/>
  <c r="J144" i="7" a="1"/>
  <c r="J144" i="7" s="1"/>
  <c r="I144" i="7" a="1"/>
  <c r="I144" i="7" s="1"/>
  <c r="J143" i="7" a="1"/>
  <c r="J143" i="7" s="1"/>
  <c r="I143" i="7" a="1"/>
  <c r="I143" i="7" s="1"/>
  <c r="J142" i="7" a="1"/>
  <c r="J142" i="7" s="1"/>
  <c r="I142" i="7" a="1"/>
  <c r="I142" i="7" s="1"/>
  <c r="J141" i="7" a="1"/>
  <c r="J141" i="7" s="1"/>
  <c r="I141" i="7" a="1"/>
  <c r="I141" i="7" s="1"/>
  <c r="J140" i="7" a="1"/>
  <c r="J140" i="7" s="1"/>
  <c r="I140" i="7" a="1"/>
  <c r="I140" i="7" s="1"/>
  <c r="J139" i="7" a="1"/>
  <c r="J139" i="7" s="1"/>
  <c r="I139" i="7" a="1"/>
  <c r="I139" i="7" s="1"/>
  <c r="J138" i="7" a="1"/>
  <c r="J138" i="7" s="1"/>
  <c r="I138" i="7" a="1"/>
  <c r="I138" i="7" s="1"/>
  <c r="J137" i="7" a="1"/>
  <c r="J137" i="7" s="1"/>
  <c r="I137" i="7" a="1"/>
  <c r="I137" i="7" s="1"/>
  <c r="J136" i="7" a="1"/>
  <c r="J136" i="7" s="1"/>
  <c r="I136" i="7" a="1"/>
  <c r="I136" i="7" s="1"/>
  <c r="J135" i="7" a="1"/>
  <c r="J135" i="7" s="1"/>
  <c r="I135" i="7" a="1"/>
  <c r="I135" i="7" s="1"/>
  <c r="J134" i="7" a="1"/>
  <c r="J134" i="7" s="1"/>
  <c r="I134" i="7" a="1"/>
  <c r="I134" i="7" s="1"/>
  <c r="J133" i="7" a="1"/>
  <c r="J133" i="7" s="1"/>
  <c r="I133" i="7" a="1"/>
  <c r="I133" i="7" s="1"/>
  <c r="J132" i="7" a="1"/>
  <c r="J132" i="7" s="1"/>
  <c r="I132" i="7" a="1"/>
  <c r="I132" i="7" s="1"/>
  <c r="J131" i="7" a="1"/>
  <c r="J131" i="7" s="1"/>
  <c r="I131" i="7" a="1"/>
  <c r="I131" i="7" s="1"/>
  <c r="J130" i="7" a="1"/>
  <c r="J130" i="7" s="1"/>
  <c r="I130" i="7" a="1"/>
  <c r="I130" i="7" s="1"/>
  <c r="J129" i="7" a="1"/>
  <c r="J129" i="7" s="1"/>
  <c r="I129" i="7" a="1"/>
  <c r="I129" i="7" s="1"/>
  <c r="J128" i="7" a="1"/>
  <c r="J128" i="7" s="1"/>
  <c r="I128" i="7" a="1"/>
  <c r="I128" i="7" s="1"/>
  <c r="J127" i="7" a="1"/>
  <c r="J127" i="7" s="1"/>
  <c r="I127" i="7" a="1"/>
  <c r="I127" i="7" s="1"/>
  <c r="J126" i="7" a="1"/>
  <c r="J126" i="7" s="1"/>
  <c r="I126" i="7" a="1"/>
  <c r="I126" i="7" s="1"/>
  <c r="J125" i="7" a="1"/>
  <c r="J125" i="7" s="1"/>
  <c r="I125" i="7" a="1"/>
  <c r="I125" i="7" s="1"/>
  <c r="J124" i="7" a="1"/>
  <c r="J124" i="7" s="1"/>
  <c r="I124" i="7" a="1"/>
  <c r="I124" i="7" s="1"/>
  <c r="J123" i="7" a="1"/>
  <c r="J123" i="7" s="1"/>
  <c r="I123" i="7" a="1"/>
  <c r="I123" i="7" s="1"/>
  <c r="J122" i="7" a="1"/>
  <c r="J122" i="7" s="1"/>
  <c r="I122" i="7" a="1"/>
  <c r="I122" i="7" s="1"/>
  <c r="J121" i="7" a="1"/>
  <c r="J121" i="7" s="1"/>
  <c r="I121" i="7" a="1"/>
  <c r="I121" i="7" s="1"/>
  <c r="J120" i="7" a="1"/>
  <c r="J120" i="7" s="1"/>
  <c r="I120" i="7" a="1"/>
  <c r="I120" i="7" s="1"/>
  <c r="J119" i="7" a="1"/>
  <c r="J119" i="7" s="1"/>
  <c r="I119" i="7" a="1"/>
  <c r="I119" i="7" s="1"/>
  <c r="J118" i="7" a="1"/>
  <c r="J118" i="7" s="1"/>
  <c r="I118" i="7" a="1"/>
  <c r="I118" i="7" s="1"/>
  <c r="J117" i="7" a="1"/>
  <c r="J117" i="7" s="1"/>
  <c r="I117" i="7" a="1"/>
  <c r="I117" i="7" s="1"/>
  <c r="J116" i="7" a="1"/>
  <c r="J116" i="7" s="1"/>
  <c r="I116" i="7" a="1"/>
  <c r="I116" i="7" s="1"/>
  <c r="J115" i="7" a="1"/>
  <c r="J115" i="7" s="1"/>
  <c r="I115" i="7" a="1"/>
  <c r="I115" i="7" s="1"/>
  <c r="J114" i="7" a="1"/>
  <c r="J114" i="7" s="1"/>
  <c r="I114" i="7" a="1"/>
  <c r="I114" i="7" s="1"/>
  <c r="J113" i="7" a="1"/>
  <c r="J113" i="7" s="1"/>
  <c r="I113" i="7" a="1"/>
  <c r="I113" i="7" s="1"/>
  <c r="J112" i="7" a="1"/>
  <c r="J112" i="7" s="1"/>
  <c r="I112" i="7" a="1"/>
  <c r="I112" i="7" s="1"/>
  <c r="J111" i="7" a="1"/>
  <c r="J111" i="7" s="1"/>
  <c r="I111" i="7" a="1"/>
  <c r="I111" i="7" s="1"/>
  <c r="J110" i="7" a="1"/>
  <c r="J110" i="7" s="1"/>
  <c r="I110" i="7" a="1"/>
  <c r="I110" i="7" s="1"/>
  <c r="J109" i="7" a="1"/>
  <c r="J109" i="7" s="1"/>
  <c r="I109" i="7" a="1"/>
  <c r="I109" i="7" s="1"/>
  <c r="J108" i="7" a="1"/>
  <c r="J108" i="7" s="1"/>
  <c r="I108" i="7" a="1"/>
  <c r="I108" i="7" s="1"/>
  <c r="J107" i="7" a="1"/>
  <c r="J107" i="7" s="1"/>
  <c r="I107" i="7" a="1"/>
  <c r="I107" i="7" s="1"/>
  <c r="J106" i="7" a="1"/>
  <c r="J106" i="7" s="1"/>
  <c r="I106" i="7" a="1"/>
  <c r="I106" i="7" s="1"/>
  <c r="J105" i="7" a="1"/>
  <c r="J105" i="7" s="1"/>
  <c r="I105" i="7" a="1"/>
  <c r="I105" i="7" s="1"/>
  <c r="J104" i="7" a="1"/>
  <c r="J104" i="7" s="1"/>
  <c r="I104" i="7" a="1"/>
  <c r="I104" i="7" s="1"/>
  <c r="J103" i="7" a="1"/>
  <c r="J103" i="7" s="1"/>
  <c r="I103" i="7" a="1"/>
  <c r="I103" i="7" s="1"/>
  <c r="J102" i="7" a="1"/>
  <c r="J102" i="7" s="1"/>
  <c r="I102" i="7" a="1"/>
  <c r="I102" i="7" s="1"/>
  <c r="J101" i="7" a="1"/>
  <c r="J101" i="7" s="1"/>
  <c r="I101" i="7" a="1"/>
  <c r="I101" i="7" s="1"/>
  <c r="J100" i="7" a="1"/>
  <c r="J100" i="7" s="1"/>
  <c r="I100" i="7" a="1"/>
  <c r="I100" i="7" s="1"/>
  <c r="J99" i="7" a="1"/>
  <c r="J99" i="7" s="1"/>
  <c r="I99" i="7" a="1"/>
  <c r="I99" i="7" s="1"/>
  <c r="J98" i="7" a="1"/>
  <c r="J98" i="7" s="1"/>
  <c r="I98" i="7" a="1"/>
  <c r="I98" i="7" s="1"/>
  <c r="J97" i="7" a="1"/>
  <c r="J97" i="7" s="1"/>
  <c r="I97" i="7" a="1"/>
  <c r="I97" i="7" s="1"/>
  <c r="J96" i="7" a="1"/>
  <c r="J96" i="7" s="1"/>
  <c r="I96" i="7" a="1"/>
  <c r="I96" i="7" s="1"/>
  <c r="J95" i="7" a="1"/>
  <c r="J95" i="7" s="1"/>
  <c r="I95" i="7" a="1"/>
  <c r="I95" i="7" s="1"/>
  <c r="J94" i="7" a="1"/>
  <c r="J94" i="7" s="1"/>
  <c r="I94" i="7" a="1"/>
  <c r="I94" i="7" s="1"/>
  <c r="J93" i="7" a="1"/>
  <c r="J93" i="7" s="1"/>
  <c r="I93" i="7" a="1"/>
  <c r="I93" i="7" s="1"/>
  <c r="J92" i="7" a="1"/>
  <c r="J92" i="7" s="1"/>
  <c r="I92" i="7" a="1"/>
  <c r="I92" i="7" s="1"/>
  <c r="J91" i="7" a="1"/>
  <c r="J91" i="7" s="1"/>
  <c r="I91" i="7" a="1"/>
  <c r="I91" i="7" s="1"/>
  <c r="J90" i="7" a="1"/>
  <c r="J90" i="7" s="1"/>
  <c r="I90" i="7" a="1"/>
  <c r="I90" i="7" s="1"/>
  <c r="J89" i="7" a="1"/>
  <c r="J89" i="7" s="1"/>
  <c r="I89" i="7" a="1"/>
  <c r="I89" i="7" s="1"/>
  <c r="J88" i="7" a="1"/>
  <c r="J88" i="7" s="1"/>
  <c r="I88" i="7" a="1"/>
  <c r="I88" i="7" s="1"/>
  <c r="J87" i="7" a="1"/>
  <c r="J87" i="7" s="1"/>
  <c r="I87" i="7" a="1"/>
  <c r="I87" i="7" s="1"/>
  <c r="J86" i="7" a="1"/>
  <c r="J86" i="7" s="1"/>
  <c r="I86" i="7" a="1"/>
  <c r="I86" i="7" s="1"/>
  <c r="J85" i="7" a="1"/>
  <c r="J85" i="7" s="1"/>
  <c r="I85" i="7" a="1"/>
  <c r="I85" i="7" s="1"/>
  <c r="J84" i="7" a="1"/>
  <c r="J84" i="7" s="1"/>
  <c r="I84" i="7" a="1"/>
  <c r="I84" i="7" s="1"/>
  <c r="J83" i="7" a="1"/>
  <c r="J83" i="7" s="1"/>
  <c r="I83" i="7" a="1"/>
  <c r="I83" i="7" s="1"/>
  <c r="J82" i="7" a="1"/>
  <c r="J82" i="7" s="1"/>
  <c r="I82" i="7" a="1"/>
  <c r="I82" i="7" s="1"/>
  <c r="J81" i="7" a="1"/>
  <c r="J81" i="7" s="1"/>
  <c r="I81" i="7" a="1"/>
  <c r="I81" i="7" s="1"/>
  <c r="J80" i="7" a="1"/>
  <c r="J80" i="7" s="1"/>
  <c r="I80" i="7" a="1"/>
  <c r="I80" i="7" s="1"/>
  <c r="J79" i="7" a="1"/>
  <c r="J79" i="7" s="1"/>
  <c r="I79" i="7" a="1"/>
  <c r="I79" i="7" s="1"/>
  <c r="J78" i="7" a="1"/>
  <c r="J78" i="7" s="1"/>
  <c r="I78" i="7" a="1"/>
  <c r="I78" i="7" s="1"/>
  <c r="J77" i="7" a="1"/>
  <c r="J77" i="7" s="1"/>
  <c r="I77" i="7" a="1"/>
  <c r="I77" i="7" s="1"/>
  <c r="J76" i="7" a="1"/>
  <c r="J76" i="7" s="1"/>
  <c r="I76" i="7" a="1"/>
  <c r="I76" i="7" s="1"/>
  <c r="J75" i="7" a="1"/>
  <c r="J75" i="7" s="1"/>
  <c r="I75" i="7" a="1"/>
  <c r="I75" i="7" s="1"/>
  <c r="J74" i="7" a="1"/>
  <c r="J74" i="7" s="1"/>
  <c r="I74" i="7" a="1"/>
  <c r="I74" i="7" s="1"/>
  <c r="J73" i="7" a="1"/>
  <c r="J73" i="7" s="1"/>
  <c r="I73" i="7" a="1"/>
  <c r="I73" i="7" s="1"/>
  <c r="J72" i="7" a="1"/>
  <c r="J72" i="7" s="1"/>
  <c r="I72" i="7" a="1"/>
  <c r="I72" i="7" s="1"/>
  <c r="J71" i="7" a="1"/>
  <c r="J71" i="7" s="1"/>
  <c r="I71" i="7" a="1"/>
  <c r="I71" i="7" s="1"/>
  <c r="J70" i="7" a="1"/>
  <c r="J70" i="7" s="1"/>
  <c r="I70" i="7" a="1"/>
  <c r="I70" i="7" s="1"/>
  <c r="J69" i="7" a="1"/>
  <c r="J69" i="7" s="1"/>
  <c r="I69" i="7" a="1"/>
  <c r="I69" i="7" s="1"/>
  <c r="J68" i="7" a="1"/>
  <c r="J68" i="7" s="1"/>
  <c r="I68" i="7" a="1"/>
  <c r="I68" i="7" s="1"/>
  <c r="J67" i="7" a="1"/>
  <c r="J67" i="7" s="1"/>
  <c r="I67" i="7" a="1"/>
  <c r="I67" i="7" s="1"/>
  <c r="J66" i="7" a="1"/>
  <c r="J66" i="7" s="1"/>
  <c r="I66" i="7" a="1"/>
  <c r="I66" i="7" s="1"/>
  <c r="J65" i="7" a="1"/>
  <c r="J65" i="7" s="1"/>
  <c r="I65" i="7" a="1"/>
  <c r="I65" i="7" s="1"/>
  <c r="J64" i="7" a="1"/>
  <c r="J64" i="7" s="1"/>
  <c r="I64" i="7" a="1"/>
  <c r="I64" i="7" s="1"/>
  <c r="J63" i="7" a="1"/>
  <c r="J63" i="7" s="1"/>
  <c r="I63" i="7" a="1"/>
  <c r="I63" i="7" s="1"/>
  <c r="J62" i="7" a="1"/>
  <c r="J62" i="7" s="1"/>
  <c r="I62" i="7" a="1"/>
  <c r="I62" i="7" s="1"/>
  <c r="J61" i="7" a="1"/>
  <c r="J61" i="7" s="1"/>
  <c r="I61" i="7" a="1"/>
  <c r="I61" i="7" s="1"/>
  <c r="J60" i="7" a="1"/>
  <c r="J60" i="7" s="1"/>
  <c r="I60" i="7" a="1"/>
  <c r="I60" i="7" s="1"/>
  <c r="J59" i="7" a="1"/>
  <c r="J59" i="7" s="1"/>
  <c r="I59" i="7" a="1"/>
  <c r="I59" i="7" s="1"/>
  <c r="J58" i="7" a="1"/>
  <c r="J58" i="7" s="1"/>
  <c r="I58" i="7" a="1"/>
  <c r="I58" i="7" s="1"/>
  <c r="J57" i="7" a="1"/>
  <c r="J57" i="7" s="1"/>
  <c r="I57" i="7" a="1"/>
  <c r="I57" i="7" s="1"/>
  <c r="J56" i="7" a="1"/>
  <c r="J56" i="7" s="1"/>
  <c r="I56" i="7" a="1"/>
  <c r="I56" i="7" s="1"/>
  <c r="J55" i="7" a="1"/>
  <c r="J55" i="7" s="1"/>
  <c r="I55" i="7" a="1"/>
  <c r="I55" i="7" s="1"/>
  <c r="J54" i="7" a="1"/>
  <c r="J54" i="7" s="1"/>
  <c r="I54" i="7" a="1"/>
  <c r="I54" i="7" s="1"/>
  <c r="J53" i="7" a="1"/>
  <c r="J53" i="7" s="1"/>
  <c r="I53" i="7" a="1"/>
  <c r="I53" i="7" s="1"/>
  <c r="J52" i="7" a="1"/>
  <c r="J52" i="7" s="1"/>
  <c r="I52" i="7" a="1"/>
  <c r="I52" i="7" s="1"/>
  <c r="J51" i="7" a="1"/>
  <c r="J51" i="7" s="1"/>
  <c r="I51" i="7" a="1"/>
  <c r="I51" i="7" s="1"/>
  <c r="J50" i="7" a="1"/>
  <c r="J50" i="7" s="1"/>
  <c r="I50" i="7" a="1"/>
  <c r="I50" i="7" s="1"/>
  <c r="J49" i="7" a="1"/>
  <c r="J49" i="7" s="1"/>
  <c r="I49" i="7" a="1"/>
  <c r="I49" i="7" s="1"/>
  <c r="J48" i="7" a="1"/>
  <c r="J48" i="7" s="1"/>
  <c r="I48" i="7" a="1"/>
  <c r="I48" i="7" s="1"/>
  <c r="J47" i="7" a="1"/>
  <c r="J47" i="7" s="1"/>
  <c r="I47" i="7" a="1"/>
  <c r="I47" i="7" s="1"/>
  <c r="J46" i="7" a="1"/>
  <c r="J46" i="7" s="1"/>
  <c r="I46" i="7" a="1"/>
  <c r="I46" i="7" s="1"/>
  <c r="J45" i="7" a="1"/>
  <c r="J45" i="7" s="1"/>
  <c r="I45" i="7" a="1"/>
  <c r="I45" i="7" s="1"/>
  <c r="J44" i="7" a="1"/>
  <c r="J44" i="7" s="1"/>
  <c r="I44" i="7" a="1"/>
  <c r="I44" i="7" s="1"/>
  <c r="J43" i="7" a="1"/>
  <c r="J43" i="7" s="1"/>
  <c r="I43" i="7" a="1"/>
  <c r="I43" i="7" s="1"/>
  <c r="J42" i="7" a="1"/>
  <c r="J42" i="7" s="1"/>
  <c r="I42" i="7" a="1"/>
  <c r="I42" i="7" s="1"/>
  <c r="J41" i="7" a="1"/>
  <c r="J41" i="7" s="1"/>
  <c r="I41" i="7" a="1"/>
  <c r="I41" i="7" s="1"/>
  <c r="J40" i="7" a="1"/>
  <c r="J40" i="7" s="1"/>
  <c r="I40" i="7" a="1"/>
  <c r="I40" i="7" s="1"/>
  <c r="J39" i="7" a="1"/>
  <c r="J39" i="7" s="1"/>
  <c r="I39" i="7" a="1"/>
  <c r="I39" i="7" s="1"/>
  <c r="J38" i="7" a="1"/>
  <c r="J38" i="7" s="1"/>
  <c r="I38" i="7" a="1"/>
  <c r="I38" i="7" s="1"/>
  <c r="J37" i="7" a="1"/>
  <c r="J37" i="7" s="1"/>
  <c r="I37" i="7" a="1"/>
  <c r="I37" i="7" s="1"/>
  <c r="J36" i="7" a="1"/>
  <c r="J36" i="7" s="1"/>
  <c r="I36" i="7" a="1"/>
  <c r="I36" i="7" s="1"/>
  <c r="J35" i="7" a="1"/>
  <c r="J35" i="7" s="1"/>
  <c r="I35" i="7" a="1"/>
  <c r="I35" i="7" s="1"/>
  <c r="J34" i="7" a="1"/>
  <c r="J34" i="7" s="1"/>
  <c r="I34" i="7" a="1"/>
  <c r="I34" i="7" s="1"/>
  <c r="J33" i="7" a="1"/>
  <c r="J33" i="7" s="1"/>
  <c r="I33" i="7" a="1"/>
  <c r="I33" i="7" s="1"/>
  <c r="J32" i="7" a="1"/>
  <c r="J32" i="7" s="1"/>
  <c r="I32" i="7" a="1"/>
  <c r="I32" i="7" s="1"/>
  <c r="J31" i="7" a="1"/>
  <c r="J31" i="7" s="1"/>
  <c r="I31" i="7" a="1"/>
  <c r="I31" i="7" s="1"/>
  <c r="J30" i="7" a="1"/>
  <c r="J30" i="7" s="1"/>
  <c r="I30" i="7" a="1"/>
  <c r="I30" i="7" s="1"/>
  <c r="J29" i="7" a="1"/>
  <c r="J29" i="7" s="1"/>
  <c r="I29" i="7" a="1"/>
  <c r="I29" i="7" s="1"/>
  <c r="J28" i="7" a="1"/>
  <c r="J28" i="7" s="1"/>
  <c r="I28" i="7" a="1"/>
  <c r="I28" i="7" s="1"/>
  <c r="P27" i="7" a="1"/>
  <c r="P27" i="7" s="1"/>
  <c r="Q27" i="7" s="1"/>
  <c r="J27" i="7" a="1"/>
  <c r="J27" i="7"/>
  <c r="I27" i="7" a="1"/>
  <c r="I27" i="7" s="1"/>
  <c r="D326" i="7" a="1"/>
  <c r="D326" i="7" s="1"/>
  <c r="D325" i="7" a="1"/>
  <c r="D325" i="7" s="1"/>
  <c r="D324" i="7" a="1"/>
  <c r="D324" i="7" s="1"/>
  <c r="D323" i="7" a="1"/>
  <c r="D323" i="7" s="1"/>
  <c r="D322" i="7" a="1"/>
  <c r="D322" i="7" s="1"/>
  <c r="D321" i="7" a="1"/>
  <c r="D321" i="7" s="1"/>
  <c r="D320" i="7" a="1"/>
  <c r="D320" i="7" s="1"/>
  <c r="D319" i="7" a="1"/>
  <c r="D319" i="7" s="1"/>
  <c r="D318" i="7" a="1"/>
  <c r="D318" i="7" s="1"/>
  <c r="D317" i="7" a="1"/>
  <c r="D317" i="7" s="1"/>
  <c r="D316" i="7" a="1"/>
  <c r="D316" i="7" s="1"/>
  <c r="D315" i="7" a="1"/>
  <c r="D315" i="7" s="1"/>
  <c r="D314" i="7" a="1"/>
  <c r="D314" i="7" s="1"/>
  <c r="D313" i="7" a="1"/>
  <c r="D313" i="7" s="1"/>
  <c r="D312" i="7" a="1"/>
  <c r="D312" i="7" s="1"/>
  <c r="D311" i="7" a="1"/>
  <c r="D311" i="7" s="1"/>
  <c r="D310" i="7" a="1"/>
  <c r="D310" i="7" s="1"/>
  <c r="D309" i="7" a="1"/>
  <c r="D309" i="7" s="1"/>
  <c r="D308" i="7" a="1"/>
  <c r="D308" i="7" s="1"/>
  <c r="D307" i="7"/>
  <c r="D307" i="7" a="1"/>
  <c r="D306" i="7" a="1"/>
  <c r="D306" i="7" s="1"/>
  <c r="D305" i="7" a="1"/>
  <c r="D305" i="7" s="1"/>
  <c r="D304" i="7" a="1"/>
  <c r="D304" i="7" s="1"/>
  <c r="D303" i="7" a="1"/>
  <c r="D303" i="7" s="1"/>
  <c r="D302" i="7" a="1"/>
  <c r="D302" i="7" s="1"/>
  <c r="D301" i="7" a="1"/>
  <c r="D301" i="7" s="1"/>
  <c r="D300" i="7" a="1"/>
  <c r="D300" i="7" s="1"/>
  <c r="D299" i="7" a="1"/>
  <c r="D299" i="7" s="1"/>
  <c r="D298" i="7" a="1"/>
  <c r="D298" i="7" s="1"/>
  <c r="D297" i="7" a="1"/>
  <c r="D297" i="7" s="1"/>
  <c r="D296" i="7" a="1"/>
  <c r="D296" i="7" s="1"/>
  <c r="D295" i="7" a="1"/>
  <c r="D295" i="7" s="1"/>
  <c r="D294" i="7" a="1"/>
  <c r="D294" i="7" s="1"/>
  <c r="D293" i="7" a="1"/>
  <c r="D293" i="7" s="1"/>
  <c r="D292" i="7" a="1"/>
  <c r="D292" i="7" s="1"/>
  <c r="D291" i="7"/>
  <c r="D291" i="7" a="1"/>
  <c r="D290" i="7" a="1"/>
  <c r="D290" i="7" s="1"/>
  <c r="D289" i="7" a="1"/>
  <c r="D289" i="7" s="1"/>
  <c r="D288" i="7" a="1"/>
  <c r="D288" i="7" s="1"/>
  <c r="D287" i="7" a="1"/>
  <c r="D287" i="7" s="1"/>
  <c r="D286" i="7" a="1"/>
  <c r="D286" i="7" s="1"/>
  <c r="D285" i="7" a="1"/>
  <c r="D285" i="7" s="1"/>
  <c r="D284" i="7" a="1"/>
  <c r="D284" i="7" s="1"/>
  <c r="D283" i="7" a="1"/>
  <c r="D283" i="7" s="1"/>
  <c r="D282" i="7" a="1"/>
  <c r="D282" i="7" s="1"/>
  <c r="D281" i="7" a="1"/>
  <c r="D281" i="7" s="1"/>
  <c r="D280" i="7" a="1"/>
  <c r="D280" i="7" s="1"/>
  <c r="D279" i="7" a="1"/>
  <c r="D279" i="7" s="1"/>
  <c r="D278" i="7" a="1"/>
  <c r="D278" i="7" s="1"/>
  <c r="D277" i="7" a="1"/>
  <c r="D277" i="7" s="1"/>
  <c r="D276" i="7" a="1"/>
  <c r="D276" i="7" s="1"/>
  <c r="D275" i="7" a="1"/>
  <c r="D275" i="7" s="1"/>
  <c r="D274" i="7" a="1"/>
  <c r="D274" i="7" s="1"/>
  <c r="D273" i="7" a="1"/>
  <c r="D273" i="7" s="1"/>
  <c r="D272" i="7" a="1"/>
  <c r="D272" i="7" s="1"/>
  <c r="D271" i="7" a="1"/>
  <c r="D271" i="7" s="1"/>
  <c r="D270" i="7" a="1"/>
  <c r="D270" i="7" s="1"/>
  <c r="D269" i="7" a="1"/>
  <c r="D269" i="7" s="1"/>
  <c r="D268" i="7" a="1"/>
  <c r="D268" i="7" s="1"/>
  <c r="D267" i="7" a="1"/>
  <c r="D267" i="7" s="1"/>
  <c r="D266" i="7" a="1"/>
  <c r="D266" i="7" s="1"/>
  <c r="D265" i="7" a="1"/>
  <c r="D265" i="7" s="1"/>
  <c r="D264" i="7" a="1"/>
  <c r="D264" i="7" s="1"/>
  <c r="D263" i="7" a="1"/>
  <c r="D263" i="7" s="1"/>
  <c r="D262" i="7" a="1"/>
  <c r="D262" i="7" s="1"/>
  <c r="D261" i="7" a="1"/>
  <c r="D261" i="7" s="1"/>
  <c r="D260" i="7" a="1"/>
  <c r="D260" i="7" s="1"/>
  <c r="D259" i="7" a="1"/>
  <c r="D259" i="7" s="1"/>
  <c r="D258" i="7" a="1"/>
  <c r="D258" i="7" s="1"/>
  <c r="D257" i="7" a="1"/>
  <c r="D257" i="7" s="1"/>
  <c r="D256" i="7" a="1"/>
  <c r="D256" i="7" s="1"/>
  <c r="D255" i="7"/>
  <c r="D255" i="7" a="1"/>
  <c r="D254" i="7" a="1"/>
  <c r="D254" i="7" s="1"/>
  <c r="D253" i="7" a="1"/>
  <c r="D253" i="7" s="1"/>
  <c r="D252" i="7" a="1"/>
  <c r="D252" i="7" s="1"/>
  <c r="D251" i="7" a="1"/>
  <c r="D251" i="7" s="1"/>
  <c r="D250" i="7" a="1"/>
  <c r="D250" i="7" s="1"/>
  <c r="D249" i="7" a="1"/>
  <c r="D249" i="7" s="1"/>
  <c r="D248" i="7" a="1"/>
  <c r="D248" i="7" s="1"/>
  <c r="D247" i="7" a="1"/>
  <c r="D247" i="7" s="1"/>
  <c r="D246" i="7" a="1"/>
  <c r="D246" i="7" s="1"/>
  <c r="D245" i="7" a="1"/>
  <c r="D245" i="7" s="1"/>
  <c r="D244" i="7" a="1"/>
  <c r="D244" i="7" s="1"/>
  <c r="D243" i="7" a="1"/>
  <c r="D243" i="7" s="1"/>
  <c r="D242" i="7" a="1"/>
  <c r="D242" i="7" s="1"/>
  <c r="D241" i="7" a="1"/>
  <c r="D241" i="7" s="1"/>
  <c r="D240" i="7" a="1"/>
  <c r="D240" i="7" s="1"/>
  <c r="D239" i="7" a="1"/>
  <c r="D239" i="7" s="1"/>
  <c r="D238" i="7" a="1"/>
  <c r="D238" i="7" s="1"/>
  <c r="D237" i="7" a="1"/>
  <c r="D237" i="7" s="1"/>
  <c r="D236" i="7" a="1"/>
  <c r="D236" i="7" s="1"/>
  <c r="D235" i="7" a="1"/>
  <c r="D235" i="7" s="1"/>
  <c r="D234" i="7" a="1"/>
  <c r="D234" i="7" s="1"/>
  <c r="D233" i="7"/>
  <c r="D233" i="7" a="1"/>
  <c r="D232" i="7" a="1"/>
  <c r="D232" i="7" s="1"/>
  <c r="D231" i="7" a="1"/>
  <c r="D231" i="7" s="1"/>
  <c r="D230" i="7" a="1"/>
  <c r="D230" i="7" s="1"/>
  <c r="D229" i="7" a="1"/>
  <c r="D229" i="7" s="1"/>
  <c r="D228" i="7" a="1"/>
  <c r="D228" i="7" s="1"/>
  <c r="D227" i="7" a="1"/>
  <c r="D227" i="7" s="1"/>
  <c r="D226" i="7" a="1"/>
  <c r="D226" i="7" s="1"/>
  <c r="D225" i="7" a="1"/>
  <c r="D225" i="7" s="1"/>
  <c r="D224" i="7" a="1"/>
  <c r="D224" i="7" s="1"/>
  <c r="D223" i="7" a="1"/>
  <c r="D223" i="7" s="1"/>
  <c r="D222" i="7" a="1"/>
  <c r="D222" i="7" s="1"/>
  <c r="D221" i="7" a="1"/>
  <c r="D221" i="7" s="1"/>
  <c r="D220" i="7" a="1"/>
  <c r="D220" i="7" s="1"/>
  <c r="D219" i="7" a="1"/>
  <c r="D219" i="7" s="1"/>
  <c r="D218" i="7" a="1"/>
  <c r="D218" i="7" s="1"/>
  <c r="D217" i="7" a="1"/>
  <c r="D217" i="7" s="1"/>
  <c r="D216" i="7" a="1"/>
  <c r="D216" i="7" s="1"/>
  <c r="D215" i="7" a="1"/>
  <c r="D215" i="7" s="1"/>
  <c r="D214" i="7" a="1"/>
  <c r="D214" i="7" s="1"/>
  <c r="D213" i="7" a="1"/>
  <c r="D213" i="7" s="1"/>
  <c r="D212" i="7" a="1"/>
  <c r="D212" i="7" s="1"/>
  <c r="D211" i="7" a="1"/>
  <c r="D211" i="7" s="1"/>
  <c r="D210" i="7" a="1"/>
  <c r="D210" i="7" s="1"/>
  <c r="D209" i="7" a="1"/>
  <c r="D209" i="7" s="1"/>
  <c r="D208" i="7" a="1"/>
  <c r="D208" i="7" s="1"/>
  <c r="D207" i="7" a="1"/>
  <c r="D207" i="7" s="1"/>
  <c r="D206" i="7" a="1"/>
  <c r="D206" i="7" s="1"/>
  <c r="D205" i="7" a="1"/>
  <c r="D205" i="7" s="1"/>
  <c r="D204" i="7" a="1"/>
  <c r="D204" i="7" s="1"/>
  <c r="D203" i="7" a="1"/>
  <c r="D203" i="7" s="1"/>
  <c r="D202" i="7" a="1"/>
  <c r="D202" i="7" s="1"/>
  <c r="D201" i="7" a="1"/>
  <c r="D201" i="7" s="1"/>
  <c r="D200" i="7" a="1"/>
  <c r="D200" i="7" s="1"/>
  <c r="D199" i="7" a="1"/>
  <c r="D199" i="7" s="1"/>
  <c r="D198" i="7" a="1"/>
  <c r="D198" i="7" s="1"/>
  <c r="D197" i="7" a="1"/>
  <c r="D197" i="7" s="1"/>
  <c r="D196" i="7" a="1"/>
  <c r="D196" i="7" s="1"/>
  <c r="D195" i="7" a="1"/>
  <c r="D195" i="7" s="1"/>
  <c r="D194" i="7" a="1"/>
  <c r="D194" i="7" s="1"/>
  <c r="D193" i="7" a="1"/>
  <c r="D193" i="7" s="1"/>
  <c r="D192" i="7" a="1"/>
  <c r="D192" i="7" s="1"/>
  <c r="D191" i="7" a="1"/>
  <c r="D191" i="7" s="1"/>
  <c r="D190" i="7" a="1"/>
  <c r="D190" i="7" s="1"/>
  <c r="D189" i="7" a="1"/>
  <c r="D189" i="7" s="1"/>
  <c r="D188" i="7" a="1"/>
  <c r="D188" i="7" s="1"/>
  <c r="D187" i="7" a="1"/>
  <c r="D187" i="7" s="1"/>
  <c r="D186" i="7" a="1"/>
  <c r="D186" i="7" s="1"/>
  <c r="D185" i="7" a="1"/>
  <c r="D185" i="7" s="1"/>
  <c r="D184" i="7" a="1"/>
  <c r="D184" i="7" s="1"/>
  <c r="D183" i="7" a="1"/>
  <c r="D183" i="7" s="1"/>
  <c r="D182" i="7" a="1"/>
  <c r="D182" i="7" s="1"/>
  <c r="D181" i="7" a="1"/>
  <c r="D181" i="7" s="1"/>
  <c r="D180" i="7" a="1"/>
  <c r="D180" i="7" s="1"/>
  <c r="D179" i="7" a="1"/>
  <c r="D179" i="7" s="1"/>
  <c r="D178" i="7" a="1"/>
  <c r="D178" i="7" s="1"/>
  <c r="D177" i="7" a="1"/>
  <c r="D177" i="7" s="1"/>
  <c r="D176" i="7" a="1"/>
  <c r="D176" i="7" s="1"/>
  <c r="D175" i="7" a="1"/>
  <c r="D175" i="7" s="1"/>
  <c r="D174" i="7" a="1"/>
  <c r="D174" i="7" s="1"/>
  <c r="D173" i="7" a="1"/>
  <c r="D173" i="7" s="1"/>
  <c r="D172" i="7" a="1"/>
  <c r="D172" i="7" s="1"/>
  <c r="D171" i="7" a="1"/>
  <c r="D171" i="7" s="1"/>
  <c r="D170" i="7" a="1"/>
  <c r="D170" i="7" s="1"/>
  <c r="D169" i="7" a="1"/>
  <c r="D169" i="7" s="1"/>
  <c r="D168" i="7" a="1"/>
  <c r="D168" i="7" s="1"/>
  <c r="D167" i="7" a="1"/>
  <c r="D167" i="7" s="1"/>
  <c r="D166" i="7" a="1"/>
  <c r="D166" i="7" s="1"/>
  <c r="D165" i="7" a="1"/>
  <c r="D165" i="7" s="1"/>
  <c r="D164" i="7" a="1"/>
  <c r="D164" i="7" s="1"/>
  <c r="D163" i="7" a="1"/>
  <c r="D163" i="7" s="1"/>
  <c r="D162" i="7" a="1"/>
  <c r="D162" i="7" s="1"/>
  <c r="D161" i="7" a="1"/>
  <c r="D161" i="7" s="1"/>
  <c r="D160" i="7" a="1"/>
  <c r="D160" i="7" s="1"/>
  <c r="D159" i="7" a="1"/>
  <c r="D159" i="7" s="1"/>
  <c r="D158" i="7" a="1"/>
  <c r="D158" i="7" s="1"/>
  <c r="D157" i="7" a="1"/>
  <c r="D157" i="7" s="1"/>
  <c r="D156" i="7" a="1"/>
  <c r="D156" i="7" s="1"/>
  <c r="D155" i="7" a="1"/>
  <c r="D155" i="7" s="1"/>
  <c r="D154" i="7" a="1"/>
  <c r="D154" i="7" s="1"/>
  <c r="D153" i="7" a="1"/>
  <c r="D153" i="7" s="1"/>
  <c r="D152" i="7" a="1"/>
  <c r="D152" i="7" s="1"/>
  <c r="D151" i="7" a="1"/>
  <c r="D151" i="7" s="1"/>
  <c r="D150" i="7" a="1"/>
  <c r="D150" i="7" s="1"/>
  <c r="D149" i="7" a="1"/>
  <c r="D149" i="7" s="1"/>
  <c r="D148" i="7"/>
  <c r="D148" i="7" a="1"/>
  <c r="D147" i="7" a="1"/>
  <c r="D147" i="7" s="1"/>
  <c r="D146" i="7" a="1"/>
  <c r="D146" i="7" s="1"/>
  <c r="D145" i="7" a="1"/>
  <c r="D145" i="7" s="1"/>
  <c r="D144" i="7" a="1"/>
  <c r="D144" i="7" s="1"/>
  <c r="D143" i="7" a="1"/>
  <c r="D143" i="7" s="1"/>
  <c r="D142" i="7" a="1"/>
  <c r="D142" i="7" s="1"/>
  <c r="D141" i="7" a="1"/>
  <c r="D141" i="7" s="1"/>
  <c r="D140" i="7" a="1"/>
  <c r="D140" i="7" s="1"/>
  <c r="D139" i="7" a="1"/>
  <c r="D139" i="7" s="1"/>
  <c r="D138" i="7" a="1"/>
  <c r="D138" i="7" s="1"/>
  <c r="D137" i="7" a="1"/>
  <c r="D137" i="7" s="1"/>
  <c r="D136" i="7" a="1"/>
  <c r="D136" i="7" s="1"/>
  <c r="D135" i="7" a="1"/>
  <c r="D135" i="7" s="1"/>
  <c r="D134" i="7" a="1"/>
  <c r="D134" i="7" s="1"/>
  <c r="D133" i="7" a="1"/>
  <c r="D133" i="7" s="1"/>
  <c r="D132" i="7" a="1"/>
  <c r="D132" i="7" s="1"/>
  <c r="D131" i="7" a="1"/>
  <c r="D131" i="7" s="1"/>
  <c r="D130" i="7" a="1"/>
  <c r="D130" i="7" s="1"/>
  <c r="D129" i="7" a="1"/>
  <c r="D129" i="7" s="1"/>
  <c r="D128" i="7" a="1"/>
  <c r="D128" i="7" s="1"/>
  <c r="D127" i="7" a="1"/>
  <c r="D127" i="7" s="1"/>
  <c r="D126" i="7" a="1"/>
  <c r="D126" i="7" s="1"/>
  <c r="D125" i="7" a="1"/>
  <c r="D125" i="7" s="1"/>
  <c r="D124" i="7" a="1"/>
  <c r="D124" i="7" s="1"/>
  <c r="D123" i="7" a="1"/>
  <c r="D123" i="7" s="1"/>
  <c r="D122" i="7" a="1"/>
  <c r="D122" i="7" s="1"/>
  <c r="D121" i="7" a="1"/>
  <c r="D121" i="7" s="1"/>
  <c r="D120" i="7" a="1"/>
  <c r="D120" i="7" s="1"/>
  <c r="D119" i="7" a="1"/>
  <c r="D119" i="7" s="1"/>
  <c r="D118" i="7" a="1"/>
  <c r="D118" i="7" s="1"/>
  <c r="D117" i="7" a="1"/>
  <c r="D117" i="7" s="1"/>
  <c r="D116" i="7" a="1"/>
  <c r="D116" i="7" s="1"/>
  <c r="D115" i="7" a="1"/>
  <c r="D115" i="7" s="1"/>
  <c r="D114" i="7" a="1"/>
  <c r="D114" i="7" s="1"/>
  <c r="D113" i="7" a="1"/>
  <c r="D113" i="7" s="1"/>
  <c r="D112" i="7" a="1"/>
  <c r="D112" i="7" s="1"/>
  <c r="D111" i="7" a="1"/>
  <c r="D111" i="7" s="1"/>
  <c r="D110" i="7" a="1"/>
  <c r="D110" i="7" s="1"/>
  <c r="D109" i="7" a="1"/>
  <c r="D109" i="7" s="1"/>
  <c r="D108" i="7"/>
  <c r="D108" i="7" a="1"/>
  <c r="D107" i="7" a="1"/>
  <c r="D107" i="7" s="1"/>
  <c r="D106" i="7" a="1"/>
  <c r="D106" i="7" s="1"/>
  <c r="D105" i="7" a="1"/>
  <c r="D105" i="7" s="1"/>
  <c r="D104" i="7" a="1"/>
  <c r="D104" i="7" s="1"/>
  <c r="D103" i="7" a="1"/>
  <c r="D103" i="7" s="1"/>
  <c r="D102" i="7" a="1"/>
  <c r="D102" i="7" s="1"/>
  <c r="D101" i="7" a="1"/>
  <c r="D101" i="7" s="1"/>
  <c r="D100" i="7" a="1"/>
  <c r="D100" i="7" s="1"/>
  <c r="D99" i="7" a="1"/>
  <c r="D99" i="7" s="1"/>
  <c r="D98" i="7" a="1"/>
  <c r="D98" i="7" s="1"/>
  <c r="D97" i="7" a="1"/>
  <c r="D97" i="7" s="1"/>
  <c r="D96" i="7" a="1"/>
  <c r="D96" i="7" s="1"/>
  <c r="D95" i="7" a="1"/>
  <c r="D95" i="7" s="1"/>
  <c r="D94" i="7" a="1"/>
  <c r="D94" i="7" s="1"/>
  <c r="D93" i="7" a="1"/>
  <c r="D93" i="7" s="1"/>
  <c r="D92" i="7" a="1"/>
  <c r="D92" i="7" s="1"/>
  <c r="D91" i="7" a="1"/>
  <c r="D91" i="7" s="1"/>
  <c r="D90" i="7" a="1"/>
  <c r="D90" i="7" s="1"/>
  <c r="D89" i="7" a="1"/>
  <c r="D89" i="7" s="1"/>
  <c r="D88" i="7" a="1"/>
  <c r="D88" i="7" s="1"/>
  <c r="D87" i="7" a="1"/>
  <c r="D87" i="7" s="1"/>
  <c r="D86" i="7" a="1"/>
  <c r="D86" i="7" s="1"/>
  <c r="D85" i="7" a="1"/>
  <c r="D85" i="7" s="1"/>
  <c r="D84" i="7" a="1"/>
  <c r="D84" i="7" s="1"/>
  <c r="D83" i="7" a="1"/>
  <c r="D83" i="7" s="1"/>
  <c r="D82" i="7" a="1"/>
  <c r="D82" i="7" s="1"/>
  <c r="D81" i="7" a="1"/>
  <c r="D81" i="7" s="1"/>
  <c r="D80" i="7" a="1"/>
  <c r="D80" i="7" s="1"/>
  <c r="D79" i="7" a="1"/>
  <c r="D79" i="7" s="1"/>
  <c r="D78" i="7" a="1"/>
  <c r="D78" i="7" s="1"/>
  <c r="D77" i="7" a="1"/>
  <c r="D77" i="7" s="1"/>
  <c r="D76" i="7" a="1"/>
  <c r="D76" i="7" s="1"/>
  <c r="D75" i="7" a="1"/>
  <c r="D75" i="7" s="1"/>
  <c r="D74" i="7" a="1"/>
  <c r="D74" i="7" s="1"/>
  <c r="D73" i="7" a="1"/>
  <c r="D73" i="7" s="1"/>
  <c r="D72" i="7" a="1"/>
  <c r="D72" i="7" s="1"/>
  <c r="D71" i="7" a="1"/>
  <c r="D71" i="7" s="1"/>
  <c r="D70" i="7" a="1"/>
  <c r="D70" i="7" s="1"/>
  <c r="D69" i="7" a="1"/>
  <c r="D69" i="7" s="1"/>
  <c r="D68" i="7" a="1"/>
  <c r="D68" i="7" s="1"/>
  <c r="D67" i="7" a="1"/>
  <c r="D67" i="7" s="1"/>
  <c r="D66" i="7" a="1"/>
  <c r="D66" i="7" s="1"/>
  <c r="D65" i="7" a="1"/>
  <c r="D65" i="7" s="1"/>
  <c r="D64" i="7" a="1"/>
  <c r="D64" i="7" s="1"/>
  <c r="D63" i="7" a="1"/>
  <c r="D63" i="7" s="1"/>
  <c r="D62" i="7" a="1"/>
  <c r="D62" i="7" s="1"/>
  <c r="D61" i="7" a="1"/>
  <c r="D61" i="7" s="1"/>
  <c r="D60" i="7" a="1"/>
  <c r="D60" i="7" s="1"/>
  <c r="D59" i="7" a="1"/>
  <c r="D59" i="7" s="1"/>
  <c r="D58" i="7" a="1"/>
  <c r="D58" i="7" s="1"/>
  <c r="D57" i="7" a="1"/>
  <c r="D57" i="7" s="1"/>
  <c r="D56" i="7" a="1"/>
  <c r="D56" i="7" s="1"/>
  <c r="D55" i="7" a="1"/>
  <c r="D55" i="7" s="1"/>
  <c r="D54" i="7" a="1"/>
  <c r="D54" i="7" s="1"/>
  <c r="D53" i="7" a="1"/>
  <c r="D53" i="7" s="1"/>
  <c r="D52" i="7" a="1"/>
  <c r="D52" i="7" s="1"/>
  <c r="D51" i="7" a="1"/>
  <c r="D51" i="7" s="1"/>
  <c r="D50" i="7" a="1"/>
  <c r="D50" i="7" s="1"/>
  <c r="D49" i="7" a="1"/>
  <c r="D49" i="7" s="1"/>
  <c r="D48" i="7" a="1"/>
  <c r="D48" i="7" s="1"/>
  <c r="D47" i="7" a="1"/>
  <c r="D47" i="7" s="1"/>
  <c r="D46" i="7" a="1"/>
  <c r="D46" i="7" s="1"/>
  <c r="D45" i="7" a="1"/>
  <c r="D45" i="7" s="1"/>
  <c r="D44" i="7"/>
  <c r="D44" i="7" a="1"/>
  <c r="D43" i="7" a="1"/>
  <c r="D43" i="7" s="1"/>
  <c r="D42" i="7" a="1"/>
  <c r="D42" i="7" s="1"/>
  <c r="D41" i="7" a="1"/>
  <c r="D41" i="7" s="1"/>
  <c r="D40" i="7" a="1"/>
  <c r="D40" i="7" s="1"/>
  <c r="D39" i="7" a="1"/>
  <c r="D39" i="7" s="1"/>
  <c r="D38" i="7" a="1"/>
  <c r="D38" i="7" s="1"/>
  <c r="D37" i="7" a="1"/>
  <c r="D37" i="7" s="1"/>
  <c r="D36" i="7" a="1"/>
  <c r="D36" i="7" s="1"/>
  <c r="D35" i="7" a="1"/>
  <c r="D35" i="7" s="1"/>
  <c r="D34" i="7" a="1"/>
  <c r="D34" i="7" s="1"/>
  <c r="D33" i="7" a="1"/>
  <c r="D33" i="7" s="1"/>
  <c r="D32" i="7" a="1"/>
  <c r="D32" i="7" s="1"/>
  <c r="D31" i="7" a="1"/>
  <c r="D31" i="7" s="1"/>
  <c r="D30" i="7" a="1"/>
  <c r="D30" i="7" s="1"/>
  <c r="D29" i="7" a="1"/>
  <c r="D29" i="7" s="1"/>
  <c r="D28" i="7" a="1"/>
  <c r="D28" i="7" s="1"/>
  <c r="D27" i="7" a="1"/>
  <c r="D27" i="7" s="1"/>
  <c r="G20" i="7"/>
  <c r="G19" i="7"/>
  <c r="G18" i="7"/>
  <c r="G17" i="7"/>
  <c r="H326" i="7" a="1"/>
  <c r="H326" i="7" s="1"/>
  <c r="G326" i="7" a="1"/>
  <c r="G326" i="7" s="1"/>
  <c r="F326" i="7" a="1"/>
  <c r="F326" i="7" s="1"/>
  <c r="E326" i="7" a="1"/>
  <c r="E326" i="7" s="1"/>
  <c r="K326" i="7" s="1"/>
  <c r="C326" i="7" a="1"/>
  <c r="C326" i="7" s="1"/>
  <c r="B326" i="7" a="1"/>
  <c r="B326" i="7" s="1"/>
  <c r="H325" i="7" a="1"/>
  <c r="H325" i="7" s="1"/>
  <c r="G325" i="7" a="1"/>
  <c r="G325" i="7" s="1"/>
  <c r="F325" i="7" a="1"/>
  <c r="F325" i="7" s="1"/>
  <c r="E325" i="7" a="1"/>
  <c r="E325" i="7" s="1"/>
  <c r="K325" i="7" s="1"/>
  <c r="C325" i="7" a="1"/>
  <c r="C325" i="7" s="1"/>
  <c r="B325" i="7" a="1"/>
  <c r="B325" i="7" s="1"/>
  <c r="H324" i="7" a="1"/>
  <c r="H324" i="7" s="1"/>
  <c r="G324" i="7" a="1"/>
  <c r="G324" i="7" s="1"/>
  <c r="F324" i="7" a="1"/>
  <c r="F324" i="7" s="1"/>
  <c r="E324" i="7" a="1"/>
  <c r="E324" i="7" s="1"/>
  <c r="C324" i="7" a="1"/>
  <c r="C324" i="7" s="1"/>
  <c r="B324" i="7" a="1"/>
  <c r="B324" i="7" s="1"/>
  <c r="H323" i="7" a="1"/>
  <c r="H323" i="7" s="1"/>
  <c r="G323" i="7" a="1"/>
  <c r="G323" i="7" s="1"/>
  <c r="F323" i="7" a="1"/>
  <c r="F323" i="7" s="1"/>
  <c r="E323" i="7" a="1"/>
  <c r="E323" i="7" s="1"/>
  <c r="K323" i="7" s="1"/>
  <c r="C323" i="7" a="1"/>
  <c r="C323" i="7" s="1"/>
  <c r="B323" i="7" a="1"/>
  <c r="B323" i="7" s="1"/>
  <c r="H322" i="7" a="1"/>
  <c r="H322" i="7" s="1"/>
  <c r="G322" i="7" a="1"/>
  <c r="G322" i="7" s="1"/>
  <c r="F322" i="7" a="1"/>
  <c r="F322" i="7" s="1"/>
  <c r="E322" i="7" a="1"/>
  <c r="E322" i="7" s="1"/>
  <c r="K322" i="7" s="1"/>
  <c r="C322" i="7" a="1"/>
  <c r="C322" i="7" s="1"/>
  <c r="B322" i="7" a="1"/>
  <c r="B322" i="7" s="1"/>
  <c r="H321" i="7" a="1"/>
  <c r="H321" i="7" s="1"/>
  <c r="G321" i="7" a="1"/>
  <c r="G321" i="7" s="1"/>
  <c r="F321" i="7" a="1"/>
  <c r="F321" i="7" s="1"/>
  <c r="E321" i="7" a="1"/>
  <c r="E321" i="7" s="1"/>
  <c r="K321" i="7" s="1"/>
  <c r="C321" i="7" a="1"/>
  <c r="C321" i="7" s="1"/>
  <c r="B321" i="7" a="1"/>
  <c r="B321" i="7" s="1"/>
  <c r="H320" i="7" a="1"/>
  <c r="H320" i="7" s="1"/>
  <c r="G320" i="7" a="1"/>
  <c r="G320" i="7" s="1"/>
  <c r="F320" i="7" a="1"/>
  <c r="F320" i="7" s="1"/>
  <c r="E320" i="7" a="1"/>
  <c r="E320" i="7" s="1"/>
  <c r="K320" i="7" s="1"/>
  <c r="M320" i="7" s="1" a="1"/>
  <c r="M320" i="7" s="1"/>
  <c r="C320" i="7" a="1"/>
  <c r="C320" i="7" s="1"/>
  <c r="B320" i="7" a="1"/>
  <c r="B320" i="7" s="1"/>
  <c r="H319" i="7" a="1"/>
  <c r="H319" i="7" s="1"/>
  <c r="G319" i="7" a="1"/>
  <c r="G319" i="7" s="1"/>
  <c r="N319" i="7" s="1"/>
  <c r="F319" i="7" a="1"/>
  <c r="F319" i="7" s="1"/>
  <c r="E319" i="7" a="1"/>
  <c r="E319" i="7" s="1"/>
  <c r="K319" i="7" s="1"/>
  <c r="C319" i="7" a="1"/>
  <c r="C319" i="7" s="1"/>
  <c r="B319" i="7" a="1"/>
  <c r="B319" i="7" s="1"/>
  <c r="H318" i="7" a="1"/>
  <c r="H318" i="7" s="1"/>
  <c r="G318" i="7" a="1"/>
  <c r="G318" i="7" s="1"/>
  <c r="F318" i="7"/>
  <c r="F318" i="7" a="1"/>
  <c r="E318" i="7" a="1"/>
  <c r="E318" i="7" s="1"/>
  <c r="K318" i="7" s="1"/>
  <c r="C318" i="7" a="1"/>
  <c r="C318" i="7" s="1"/>
  <c r="B318" i="7"/>
  <c r="B318" i="7" a="1"/>
  <c r="H317" i="7" a="1"/>
  <c r="H317" i="7" s="1"/>
  <c r="G317" i="7" a="1"/>
  <c r="G317" i="7" s="1"/>
  <c r="F317" i="7" a="1"/>
  <c r="F317" i="7" s="1"/>
  <c r="E317" i="7" a="1"/>
  <c r="E317" i="7" s="1"/>
  <c r="K317" i="7" s="1"/>
  <c r="C317" i="7" a="1"/>
  <c r="C317" i="7" s="1"/>
  <c r="B317" i="7" a="1"/>
  <c r="B317" i="7" s="1"/>
  <c r="H316" i="7" a="1"/>
  <c r="H316" i="7" s="1"/>
  <c r="G316" i="7" a="1"/>
  <c r="G316" i="7" s="1"/>
  <c r="F316" i="7" a="1"/>
  <c r="F316" i="7" s="1"/>
  <c r="E316" i="7" a="1"/>
  <c r="E316" i="7" s="1"/>
  <c r="C316" i="7" a="1"/>
  <c r="C316" i="7" s="1"/>
  <c r="B316" i="7" a="1"/>
  <c r="B316" i="7" s="1"/>
  <c r="H315" i="7" a="1"/>
  <c r="H315" i="7" s="1"/>
  <c r="G315" i="7" a="1"/>
  <c r="G315" i="7" s="1"/>
  <c r="F315" i="7" a="1"/>
  <c r="F315" i="7" s="1"/>
  <c r="E315" i="7" a="1"/>
  <c r="E315" i="7" s="1"/>
  <c r="K315" i="7" s="1"/>
  <c r="C315" i="7" a="1"/>
  <c r="C315" i="7" s="1"/>
  <c r="B315" i="7" a="1"/>
  <c r="B315" i="7" s="1"/>
  <c r="H314" i="7" a="1"/>
  <c r="H314" i="7" s="1"/>
  <c r="G314" i="7" a="1"/>
  <c r="G314" i="7" s="1"/>
  <c r="F314" i="7" a="1"/>
  <c r="F314" i="7" s="1"/>
  <c r="E314" i="7" a="1"/>
  <c r="E314" i="7" s="1"/>
  <c r="K314" i="7" s="1"/>
  <c r="C314" i="7" a="1"/>
  <c r="C314" i="7" s="1"/>
  <c r="B314" i="7" a="1"/>
  <c r="B314" i="7" s="1"/>
  <c r="H313" i="7" a="1"/>
  <c r="H313" i="7" s="1"/>
  <c r="G313" i="7" a="1"/>
  <c r="G313" i="7" s="1"/>
  <c r="F313" i="7" a="1"/>
  <c r="F313" i="7" s="1"/>
  <c r="E313" i="7" a="1"/>
  <c r="E313" i="7" s="1"/>
  <c r="K313" i="7" s="1"/>
  <c r="C313" i="7" a="1"/>
  <c r="C313" i="7" s="1"/>
  <c r="B313" i="7" a="1"/>
  <c r="B313" i="7" s="1"/>
  <c r="H312" i="7" a="1"/>
  <c r="H312" i="7" s="1"/>
  <c r="G312" i="7" a="1"/>
  <c r="G312" i="7" s="1"/>
  <c r="F312" i="7" a="1"/>
  <c r="F312" i="7" s="1"/>
  <c r="O312" i="7" s="1"/>
  <c r="E312" i="7" a="1"/>
  <c r="E312" i="7" s="1"/>
  <c r="C312" i="7" a="1"/>
  <c r="C312" i="7" s="1"/>
  <c r="B312" i="7" a="1"/>
  <c r="B312" i="7" s="1"/>
  <c r="H311" i="7"/>
  <c r="H311" i="7" a="1"/>
  <c r="G311" i="7" a="1"/>
  <c r="G311" i="7" s="1"/>
  <c r="F311" i="7" a="1"/>
  <c r="F311" i="7" s="1"/>
  <c r="E311" i="7" a="1"/>
  <c r="E311" i="7" s="1"/>
  <c r="K311" i="7" s="1"/>
  <c r="C311" i="7" a="1"/>
  <c r="C311" i="7" s="1"/>
  <c r="B311" i="7" a="1"/>
  <c r="B311" i="7" s="1"/>
  <c r="H310" i="7" a="1"/>
  <c r="H310" i="7" s="1"/>
  <c r="G310" i="7" a="1"/>
  <c r="G310" i="7" s="1"/>
  <c r="F310" i="7" a="1"/>
  <c r="F310" i="7" s="1"/>
  <c r="E310" i="7" a="1"/>
  <c r="E310" i="7" s="1"/>
  <c r="K310" i="7" s="1"/>
  <c r="C310" i="7" a="1"/>
  <c r="C310" i="7" s="1"/>
  <c r="B310" i="7" a="1"/>
  <c r="B310" i="7" s="1"/>
  <c r="H309" i="7" a="1"/>
  <c r="H309" i="7" s="1"/>
  <c r="G309" i="7" a="1"/>
  <c r="G309" i="7" s="1"/>
  <c r="N309" i="7" s="1"/>
  <c r="F309" i="7" a="1"/>
  <c r="F309" i="7" s="1"/>
  <c r="E309" i="7" a="1"/>
  <c r="E309" i="7" s="1"/>
  <c r="K309" i="7" s="1"/>
  <c r="C309" i="7" a="1"/>
  <c r="C309" i="7" s="1"/>
  <c r="B309" i="7" a="1"/>
  <c r="B309" i="7" s="1"/>
  <c r="H308" i="7" a="1"/>
  <c r="H308" i="7" s="1"/>
  <c r="G308" i="7" a="1"/>
  <c r="G308" i="7" s="1"/>
  <c r="F308" i="7" a="1"/>
  <c r="F308" i="7" s="1"/>
  <c r="E308" i="7" a="1"/>
  <c r="E308" i="7" s="1"/>
  <c r="C308" i="7" a="1"/>
  <c r="C308" i="7" s="1"/>
  <c r="B308" i="7" a="1"/>
  <c r="B308" i="7" s="1"/>
  <c r="H307" i="7" a="1"/>
  <c r="H307" i="7" s="1"/>
  <c r="G307" i="7" a="1"/>
  <c r="G307" i="7" s="1"/>
  <c r="F307" i="7" a="1"/>
  <c r="F307" i="7" s="1"/>
  <c r="E307" i="7" a="1"/>
  <c r="E307" i="7" s="1"/>
  <c r="K307" i="7" s="1"/>
  <c r="C307" i="7" a="1"/>
  <c r="C307" i="7" s="1"/>
  <c r="B307" i="7" a="1"/>
  <c r="B307" i="7" s="1"/>
  <c r="H306" i="7" a="1"/>
  <c r="H306" i="7" s="1"/>
  <c r="G306" i="7" a="1"/>
  <c r="G306" i="7" s="1"/>
  <c r="F306" i="7" a="1"/>
  <c r="F306" i="7" s="1"/>
  <c r="E306" i="7" a="1"/>
  <c r="E306" i="7" s="1"/>
  <c r="K306" i="7" s="1"/>
  <c r="C306" i="7" a="1"/>
  <c r="C306" i="7" s="1"/>
  <c r="B306" i="7" a="1"/>
  <c r="B306" i="7" s="1"/>
  <c r="H305" i="7" a="1"/>
  <c r="H305" i="7" s="1"/>
  <c r="G305" i="7" a="1"/>
  <c r="G305" i="7" s="1"/>
  <c r="N305" i="7" s="1"/>
  <c r="F305" i="7" a="1"/>
  <c r="F305" i="7" s="1"/>
  <c r="E305" i="7" a="1"/>
  <c r="E305" i="7" s="1"/>
  <c r="K305" i="7" s="1"/>
  <c r="C305" i="7" a="1"/>
  <c r="C305" i="7" s="1"/>
  <c r="B305" i="7" a="1"/>
  <c r="B305" i="7" s="1"/>
  <c r="H304" i="7" a="1"/>
  <c r="H304" i="7" s="1"/>
  <c r="G304" i="7" a="1"/>
  <c r="G304" i="7" s="1"/>
  <c r="F304" i="7" a="1"/>
  <c r="F304" i="7" s="1"/>
  <c r="E304" i="7" a="1"/>
  <c r="E304" i="7" s="1"/>
  <c r="C304" i="7" a="1"/>
  <c r="C304" i="7" s="1"/>
  <c r="B304" i="7" a="1"/>
  <c r="B304" i="7" s="1"/>
  <c r="H303" i="7" a="1"/>
  <c r="H303" i="7" s="1"/>
  <c r="G303" i="7" a="1"/>
  <c r="G303" i="7" s="1"/>
  <c r="F303" i="7" a="1"/>
  <c r="F303" i="7" s="1"/>
  <c r="E303" i="7" a="1"/>
  <c r="E303" i="7" s="1"/>
  <c r="K303" i="7" s="1"/>
  <c r="C303" i="7" a="1"/>
  <c r="C303" i="7" s="1"/>
  <c r="B303" i="7" a="1"/>
  <c r="B303" i="7" s="1"/>
  <c r="H302" i="7" a="1"/>
  <c r="H302" i="7" s="1"/>
  <c r="G302" i="7" a="1"/>
  <c r="G302" i="7" s="1"/>
  <c r="F302" i="7" a="1"/>
  <c r="F302" i="7" s="1"/>
  <c r="E302" i="7" a="1"/>
  <c r="E302" i="7" s="1"/>
  <c r="K302" i="7" s="1"/>
  <c r="C302" i="7" a="1"/>
  <c r="C302" i="7" s="1"/>
  <c r="B302" i="7" a="1"/>
  <c r="B302" i="7" s="1"/>
  <c r="H301" i="7" a="1"/>
  <c r="H301" i="7" s="1"/>
  <c r="G301" i="7" a="1"/>
  <c r="G301" i="7" s="1"/>
  <c r="F301" i="7" a="1"/>
  <c r="F301" i="7" s="1"/>
  <c r="E301" i="7" a="1"/>
  <c r="E301" i="7" s="1"/>
  <c r="K301" i="7" s="1"/>
  <c r="C301" i="7" a="1"/>
  <c r="C301" i="7" s="1"/>
  <c r="B301" i="7" a="1"/>
  <c r="B301" i="7" s="1"/>
  <c r="H300" i="7" a="1"/>
  <c r="H300" i="7" s="1"/>
  <c r="G300" i="7" a="1"/>
  <c r="G300" i="7" s="1"/>
  <c r="F300" i="7" a="1"/>
  <c r="F300" i="7" s="1"/>
  <c r="E300" i="7" a="1"/>
  <c r="E300" i="7" s="1"/>
  <c r="C300" i="7" a="1"/>
  <c r="C300" i="7" s="1"/>
  <c r="B300" i="7" a="1"/>
  <c r="B300" i="7" s="1"/>
  <c r="H299" i="7" a="1"/>
  <c r="H299" i="7" s="1"/>
  <c r="G299" i="7" a="1"/>
  <c r="G299" i="7" s="1"/>
  <c r="F299" i="7" a="1"/>
  <c r="F299" i="7" s="1"/>
  <c r="E299" i="7" a="1"/>
  <c r="E299" i="7" s="1"/>
  <c r="K299" i="7" s="1"/>
  <c r="C299" i="7" a="1"/>
  <c r="C299" i="7" s="1"/>
  <c r="B299" i="7" a="1"/>
  <c r="B299" i="7" s="1"/>
  <c r="H298" i="7" a="1"/>
  <c r="H298" i="7" s="1"/>
  <c r="G298" i="7" a="1"/>
  <c r="G298" i="7" s="1"/>
  <c r="F298" i="7" a="1"/>
  <c r="F298" i="7" s="1"/>
  <c r="E298" i="7" a="1"/>
  <c r="E298" i="7" s="1"/>
  <c r="K298" i="7" s="1"/>
  <c r="C298" i="7" a="1"/>
  <c r="C298" i="7" s="1"/>
  <c r="B298" i="7" a="1"/>
  <c r="B298" i="7" s="1"/>
  <c r="H297" i="7" a="1"/>
  <c r="H297" i="7" s="1"/>
  <c r="G297" i="7" a="1"/>
  <c r="G297" i="7" s="1"/>
  <c r="F297" i="7" a="1"/>
  <c r="F297" i="7" s="1"/>
  <c r="E297" i="7" a="1"/>
  <c r="E297" i="7" s="1"/>
  <c r="K297" i="7" s="1"/>
  <c r="C297" i="7" a="1"/>
  <c r="C297" i="7" s="1"/>
  <c r="B297" i="7" a="1"/>
  <c r="B297" i="7" s="1"/>
  <c r="H296" i="7" a="1"/>
  <c r="H296" i="7" s="1"/>
  <c r="G296" i="7" a="1"/>
  <c r="G296" i="7" s="1"/>
  <c r="N296" i="7" s="1"/>
  <c r="F296" i="7" a="1"/>
  <c r="F296" i="7" s="1"/>
  <c r="E296" i="7" a="1"/>
  <c r="E296" i="7" s="1"/>
  <c r="C296" i="7" a="1"/>
  <c r="C296" i="7" s="1"/>
  <c r="B296" i="7" a="1"/>
  <c r="B296" i="7" s="1"/>
  <c r="H295" i="7" a="1"/>
  <c r="H295" i="7" s="1"/>
  <c r="G295" i="7" a="1"/>
  <c r="G295" i="7" s="1"/>
  <c r="F295" i="7" a="1"/>
  <c r="F295" i="7" s="1"/>
  <c r="E295" i="7" a="1"/>
  <c r="E295" i="7" s="1"/>
  <c r="K295" i="7" s="1"/>
  <c r="C295" i="7" a="1"/>
  <c r="C295" i="7" s="1"/>
  <c r="B295" i="7" a="1"/>
  <c r="B295" i="7" s="1"/>
  <c r="H294" i="7" a="1"/>
  <c r="H294" i="7" s="1"/>
  <c r="G294" i="7" a="1"/>
  <c r="G294" i="7" s="1"/>
  <c r="F294" i="7" a="1"/>
  <c r="F294" i="7" s="1"/>
  <c r="E294" i="7" a="1"/>
  <c r="E294" i="7" s="1"/>
  <c r="K294" i="7" s="1"/>
  <c r="C294" i="7" a="1"/>
  <c r="C294" i="7" s="1"/>
  <c r="B294" i="7" a="1"/>
  <c r="B294" i="7" s="1"/>
  <c r="H293" i="7" a="1"/>
  <c r="H293" i="7" s="1"/>
  <c r="G293" i="7" a="1"/>
  <c r="G293" i="7" s="1"/>
  <c r="F293" i="7" a="1"/>
  <c r="F293" i="7" s="1"/>
  <c r="E293" i="7" a="1"/>
  <c r="E293" i="7" s="1"/>
  <c r="K293" i="7" s="1"/>
  <c r="C293" i="7" a="1"/>
  <c r="C293" i="7" s="1"/>
  <c r="B293" i="7" a="1"/>
  <c r="B293" i="7" s="1"/>
  <c r="H292" i="7" a="1"/>
  <c r="H292" i="7" s="1"/>
  <c r="G292" i="7" a="1"/>
  <c r="G292" i="7" s="1"/>
  <c r="F292" i="7" a="1"/>
  <c r="F292" i="7" s="1"/>
  <c r="E292" i="7" a="1"/>
  <c r="E292" i="7" s="1"/>
  <c r="K292" i="7" s="1"/>
  <c r="C292" i="7" a="1"/>
  <c r="C292" i="7" s="1"/>
  <c r="B292" i="7" a="1"/>
  <c r="B292" i="7" s="1"/>
  <c r="H291" i="7" a="1"/>
  <c r="H291" i="7" s="1"/>
  <c r="G291" i="7" a="1"/>
  <c r="G291" i="7" s="1"/>
  <c r="F291" i="7" a="1"/>
  <c r="F291" i="7" s="1"/>
  <c r="E291" i="7" a="1"/>
  <c r="E291" i="7" s="1"/>
  <c r="K291" i="7" s="1"/>
  <c r="M291" i="7" s="1" a="1"/>
  <c r="M291" i="7" s="1"/>
  <c r="C291" i="7" a="1"/>
  <c r="C291" i="7" s="1"/>
  <c r="B291" i="7" a="1"/>
  <c r="B291" i="7" s="1"/>
  <c r="H290" i="7" a="1"/>
  <c r="H290" i="7" s="1"/>
  <c r="G290" i="7" a="1"/>
  <c r="G290" i="7" s="1"/>
  <c r="F290" i="7" a="1"/>
  <c r="F290" i="7" s="1"/>
  <c r="E290" i="7" a="1"/>
  <c r="E290" i="7" s="1"/>
  <c r="K290" i="7" s="1"/>
  <c r="C290" i="7" a="1"/>
  <c r="C290" i="7" s="1"/>
  <c r="B290" i="7" a="1"/>
  <c r="B290" i="7" s="1"/>
  <c r="H289" i="7" a="1"/>
  <c r="H289" i="7" s="1"/>
  <c r="N289" i="7" s="1"/>
  <c r="G289" i="7" a="1"/>
  <c r="G289" i="7" s="1"/>
  <c r="F289" i="7" a="1"/>
  <c r="F289" i="7" s="1"/>
  <c r="E289" i="7" a="1"/>
  <c r="E289" i="7" s="1"/>
  <c r="K289" i="7" s="1"/>
  <c r="C289" i="7" a="1"/>
  <c r="C289" i="7" s="1"/>
  <c r="B289" i="7" a="1"/>
  <c r="B289" i="7" s="1"/>
  <c r="H288" i="7" a="1"/>
  <c r="H288" i="7" s="1"/>
  <c r="G288" i="7" a="1"/>
  <c r="G288" i="7" s="1"/>
  <c r="F288" i="7" a="1"/>
  <c r="F288" i="7" s="1"/>
  <c r="E288" i="7" a="1"/>
  <c r="E288" i="7" s="1"/>
  <c r="C288" i="7" a="1"/>
  <c r="C288" i="7" s="1"/>
  <c r="B288" i="7" a="1"/>
  <c r="B288" i="7" s="1"/>
  <c r="H287" i="7" a="1"/>
  <c r="H287" i="7" s="1"/>
  <c r="G287" i="7" a="1"/>
  <c r="G287" i="7" s="1"/>
  <c r="F287" i="7" a="1"/>
  <c r="F287" i="7" s="1"/>
  <c r="E287" i="7" a="1"/>
  <c r="E287" i="7" s="1"/>
  <c r="K287" i="7" s="1"/>
  <c r="C287" i="7" a="1"/>
  <c r="C287" i="7" s="1"/>
  <c r="B287" i="7" a="1"/>
  <c r="B287" i="7" s="1"/>
  <c r="H286" i="7" a="1"/>
  <c r="H286" i="7" s="1"/>
  <c r="G286" i="7" a="1"/>
  <c r="G286" i="7" s="1"/>
  <c r="F286" i="7" a="1"/>
  <c r="F286" i="7" s="1"/>
  <c r="E286" i="7" a="1"/>
  <c r="E286" i="7" s="1"/>
  <c r="K286" i="7" s="1"/>
  <c r="C286" i="7" a="1"/>
  <c r="C286" i="7" s="1"/>
  <c r="B286" i="7" a="1"/>
  <c r="B286" i="7" s="1"/>
  <c r="H285" i="7" a="1"/>
  <c r="H285" i="7" s="1"/>
  <c r="G285" i="7" a="1"/>
  <c r="G285" i="7" s="1"/>
  <c r="F285" i="7" a="1"/>
  <c r="F285" i="7" s="1"/>
  <c r="E285" i="7" a="1"/>
  <c r="E285" i="7" s="1"/>
  <c r="K285" i="7" s="1"/>
  <c r="C285" i="7" a="1"/>
  <c r="C285" i="7" s="1"/>
  <c r="B285" i="7" a="1"/>
  <c r="B285" i="7" s="1"/>
  <c r="H284" i="7" a="1"/>
  <c r="H284" i="7" s="1"/>
  <c r="G284" i="7" a="1"/>
  <c r="G284" i="7" s="1"/>
  <c r="F284" i="7" a="1"/>
  <c r="F284" i="7" s="1"/>
  <c r="E284" i="7" a="1"/>
  <c r="E284" i="7" s="1"/>
  <c r="K284" i="7" s="1"/>
  <c r="C284" i="7" a="1"/>
  <c r="C284" i="7" s="1"/>
  <c r="B284" i="7" a="1"/>
  <c r="B284" i="7" s="1"/>
  <c r="H283" i="7" a="1"/>
  <c r="H283" i="7" s="1"/>
  <c r="G283" i="7" a="1"/>
  <c r="G283" i="7" s="1"/>
  <c r="F283" i="7" a="1"/>
  <c r="F283" i="7" s="1"/>
  <c r="E283" i="7" a="1"/>
  <c r="E283" i="7" s="1"/>
  <c r="K283" i="7" s="1"/>
  <c r="C283" i="7" a="1"/>
  <c r="C283" i="7" s="1"/>
  <c r="B283" i="7" a="1"/>
  <c r="B283" i="7" s="1"/>
  <c r="H282" i="7" a="1"/>
  <c r="H282" i="7" s="1"/>
  <c r="N282" i="7" s="1"/>
  <c r="G282" i="7" a="1"/>
  <c r="G282" i="7" s="1"/>
  <c r="F282" i="7" a="1"/>
  <c r="F282" i="7" s="1"/>
  <c r="E282" i="7" a="1"/>
  <c r="E282" i="7" s="1"/>
  <c r="K282" i="7" s="1"/>
  <c r="C282" i="7" a="1"/>
  <c r="C282" i="7" s="1"/>
  <c r="B282" i="7" a="1"/>
  <c r="B282" i="7" s="1"/>
  <c r="H281" i="7" a="1"/>
  <c r="H281" i="7" s="1"/>
  <c r="G281" i="7" a="1"/>
  <c r="G281" i="7" s="1"/>
  <c r="F281" i="7" a="1"/>
  <c r="F281" i="7" s="1"/>
  <c r="E281" i="7" a="1"/>
  <c r="E281" i="7" s="1"/>
  <c r="K281" i="7" s="1"/>
  <c r="C281" i="7" a="1"/>
  <c r="C281" i="7" s="1"/>
  <c r="B281" i="7" a="1"/>
  <c r="B281" i="7" s="1"/>
  <c r="H280" i="7" a="1"/>
  <c r="H280" i="7" s="1"/>
  <c r="G280" i="7" a="1"/>
  <c r="G280" i="7" s="1"/>
  <c r="F280" i="7" a="1"/>
  <c r="F280" i="7" s="1"/>
  <c r="E280" i="7" a="1"/>
  <c r="E280" i="7" s="1"/>
  <c r="K280" i="7" s="1"/>
  <c r="C280" i="7" a="1"/>
  <c r="C280" i="7" s="1"/>
  <c r="B280" i="7" a="1"/>
  <c r="B280" i="7" s="1"/>
  <c r="H279" i="7" a="1"/>
  <c r="H279" i="7" s="1"/>
  <c r="G279" i="7" a="1"/>
  <c r="G279" i="7" s="1"/>
  <c r="N279" i="7" s="1"/>
  <c r="F279" i="7" a="1"/>
  <c r="F279" i="7" s="1"/>
  <c r="E279" i="7" a="1"/>
  <c r="E279" i="7" s="1"/>
  <c r="K279" i="7" s="1"/>
  <c r="C279" i="7" a="1"/>
  <c r="C279" i="7" s="1"/>
  <c r="B279" i="7" a="1"/>
  <c r="B279" i="7" s="1"/>
  <c r="H278" i="7" a="1"/>
  <c r="H278" i="7" s="1"/>
  <c r="G278" i="7" a="1"/>
  <c r="G278" i="7" s="1"/>
  <c r="F278" i="7"/>
  <c r="F278" i="7" a="1"/>
  <c r="E278" i="7" a="1"/>
  <c r="E278" i="7" s="1"/>
  <c r="C278" i="7" a="1"/>
  <c r="C278" i="7" s="1"/>
  <c r="B278" i="7" a="1"/>
  <c r="B278" i="7" s="1"/>
  <c r="H277" i="7" a="1"/>
  <c r="H277" i="7" s="1"/>
  <c r="G277" i="7" a="1"/>
  <c r="G277" i="7" s="1"/>
  <c r="F277" i="7" a="1"/>
  <c r="F277" i="7" s="1"/>
  <c r="E277" i="7" a="1"/>
  <c r="E277" i="7" s="1"/>
  <c r="K277" i="7" s="1"/>
  <c r="C277" i="7" a="1"/>
  <c r="C277" i="7" s="1"/>
  <c r="B277" i="7" a="1"/>
  <c r="B277" i="7" s="1"/>
  <c r="H276" i="7" a="1"/>
  <c r="H276" i="7" s="1"/>
  <c r="G276" i="7" a="1"/>
  <c r="G276" i="7" s="1"/>
  <c r="F276" i="7" a="1"/>
  <c r="F276" i="7" s="1"/>
  <c r="E276" i="7" a="1"/>
  <c r="E276" i="7" s="1"/>
  <c r="K276" i="7" s="1"/>
  <c r="C276" i="7" a="1"/>
  <c r="C276" i="7" s="1"/>
  <c r="B276" i="7" a="1"/>
  <c r="B276" i="7" s="1"/>
  <c r="H275" i="7" a="1"/>
  <c r="H275" i="7" s="1"/>
  <c r="G275" i="7" a="1"/>
  <c r="G275" i="7" s="1"/>
  <c r="F275" i="7" a="1"/>
  <c r="F275" i="7" s="1"/>
  <c r="E275" i="7" a="1"/>
  <c r="E275" i="7" s="1"/>
  <c r="K275" i="7" s="1"/>
  <c r="C275" i="7" a="1"/>
  <c r="C275" i="7" s="1"/>
  <c r="B275" i="7" a="1"/>
  <c r="B275" i="7" s="1"/>
  <c r="H274" i="7" a="1"/>
  <c r="H274" i="7" s="1"/>
  <c r="G274" i="7" a="1"/>
  <c r="G274" i="7" s="1"/>
  <c r="F274" i="7" a="1"/>
  <c r="F274" i="7" s="1"/>
  <c r="E274" i="7" a="1"/>
  <c r="E274" i="7" s="1"/>
  <c r="K274" i="7" s="1"/>
  <c r="C274" i="7" a="1"/>
  <c r="C274" i="7" s="1"/>
  <c r="B274" i="7" a="1"/>
  <c r="B274" i="7" s="1"/>
  <c r="H273" i="7" a="1"/>
  <c r="H273" i="7" s="1"/>
  <c r="G273" i="7" a="1"/>
  <c r="G273" i="7" s="1"/>
  <c r="F273" i="7" a="1"/>
  <c r="F273" i="7" s="1"/>
  <c r="E273" i="7" a="1"/>
  <c r="E273" i="7" s="1"/>
  <c r="K273" i="7" s="1"/>
  <c r="C273" i="7" a="1"/>
  <c r="C273" i="7" s="1"/>
  <c r="B273" i="7" a="1"/>
  <c r="B273" i="7" s="1"/>
  <c r="H272" i="7" a="1"/>
  <c r="H272" i="7" s="1"/>
  <c r="G272" i="7" a="1"/>
  <c r="G272" i="7" s="1"/>
  <c r="F272" i="7" a="1"/>
  <c r="F272" i="7" s="1"/>
  <c r="E272" i="7" a="1"/>
  <c r="E272" i="7" s="1"/>
  <c r="K272" i="7" s="1"/>
  <c r="M272" i="7" s="1" a="1"/>
  <c r="M272" i="7" s="1"/>
  <c r="C272" i="7" a="1"/>
  <c r="C272" i="7" s="1"/>
  <c r="B272" i="7" a="1"/>
  <c r="B272" i="7" s="1"/>
  <c r="H271" i="7" a="1"/>
  <c r="H271" i="7" s="1"/>
  <c r="G271" i="7" a="1"/>
  <c r="G271" i="7" s="1"/>
  <c r="F271" i="7" a="1"/>
  <c r="F271" i="7" s="1"/>
  <c r="E271" i="7" a="1"/>
  <c r="E271" i="7" s="1"/>
  <c r="K271" i="7" s="1"/>
  <c r="C271" i="7" a="1"/>
  <c r="C271" i="7" s="1"/>
  <c r="B271" i="7" a="1"/>
  <c r="B271" i="7" s="1"/>
  <c r="H270" i="7" a="1"/>
  <c r="H270" i="7" s="1"/>
  <c r="G270" i="7" a="1"/>
  <c r="G270" i="7" s="1"/>
  <c r="F270" i="7" a="1"/>
  <c r="F270" i="7" s="1"/>
  <c r="E270" i="7" a="1"/>
  <c r="E270" i="7" s="1"/>
  <c r="K270" i="7" s="1"/>
  <c r="C270" i="7" a="1"/>
  <c r="C270" i="7" s="1"/>
  <c r="B270" i="7" a="1"/>
  <c r="B270" i="7" s="1"/>
  <c r="H269" i="7" a="1"/>
  <c r="H269" i="7" s="1"/>
  <c r="G269" i="7" a="1"/>
  <c r="G269" i="7" s="1"/>
  <c r="F269" i="7" a="1"/>
  <c r="F269" i="7" s="1"/>
  <c r="E269" i="7" a="1"/>
  <c r="E269" i="7" s="1"/>
  <c r="C269" i="7" a="1"/>
  <c r="C269" i="7" s="1"/>
  <c r="B269" i="7" a="1"/>
  <c r="B269" i="7" s="1"/>
  <c r="H268" i="7" a="1"/>
  <c r="H268" i="7" s="1"/>
  <c r="G268" i="7" a="1"/>
  <c r="G268" i="7" s="1"/>
  <c r="N268" i="7" s="1"/>
  <c r="F268" i="7" a="1"/>
  <c r="F268" i="7" s="1"/>
  <c r="E268" i="7" a="1"/>
  <c r="E268" i="7" s="1"/>
  <c r="K268" i="7" s="1"/>
  <c r="M268" i="7" s="1" a="1"/>
  <c r="M268" i="7" s="1"/>
  <c r="C268" i="7" a="1"/>
  <c r="C268" i="7" s="1"/>
  <c r="B268" i="7" a="1"/>
  <c r="B268" i="7" s="1"/>
  <c r="H267" i="7" a="1"/>
  <c r="H267" i="7" s="1"/>
  <c r="G267" i="7" a="1"/>
  <c r="G267" i="7" s="1"/>
  <c r="F267" i="7" a="1"/>
  <c r="F267" i="7" s="1"/>
  <c r="E267" i="7" a="1"/>
  <c r="E267" i="7" s="1"/>
  <c r="K267" i="7" s="1"/>
  <c r="C267" i="7" a="1"/>
  <c r="C267" i="7" s="1"/>
  <c r="B267" i="7"/>
  <c r="B267" i="7" a="1"/>
  <c r="H266" i="7" a="1"/>
  <c r="H266" i="7" s="1"/>
  <c r="G266" i="7" a="1"/>
  <c r="G266" i="7" s="1"/>
  <c r="F266" i="7"/>
  <c r="F266" i="7" a="1"/>
  <c r="E266" i="7" a="1"/>
  <c r="E266" i="7" s="1"/>
  <c r="K266" i="7" s="1"/>
  <c r="C266" i="7" a="1"/>
  <c r="C266" i="7" s="1"/>
  <c r="B266" i="7"/>
  <c r="B266" i="7" a="1"/>
  <c r="H265" i="7" a="1"/>
  <c r="H265" i="7" s="1"/>
  <c r="G265" i="7" a="1"/>
  <c r="G265" i="7" s="1"/>
  <c r="F265" i="7" a="1"/>
  <c r="F265" i="7" s="1"/>
  <c r="E265" i="7" a="1"/>
  <c r="E265" i="7" s="1"/>
  <c r="K265" i="7" s="1"/>
  <c r="C265" i="7" a="1"/>
  <c r="C265" i="7" s="1"/>
  <c r="B265" i="7" a="1"/>
  <c r="B265" i="7" s="1"/>
  <c r="H264" i="7" a="1"/>
  <c r="H264" i="7" s="1"/>
  <c r="G264" i="7" a="1"/>
  <c r="G264" i="7" s="1"/>
  <c r="F264" i="7" a="1"/>
  <c r="F264" i="7" s="1"/>
  <c r="E264" i="7" a="1"/>
  <c r="E264" i="7" s="1"/>
  <c r="C264" i="7" a="1"/>
  <c r="C264" i="7" s="1"/>
  <c r="B264" i="7" a="1"/>
  <c r="B264" i="7" s="1"/>
  <c r="H263" i="7" a="1"/>
  <c r="H263" i="7" s="1"/>
  <c r="G263" i="7" a="1"/>
  <c r="G263" i="7" s="1"/>
  <c r="F263" i="7" a="1"/>
  <c r="F263" i="7" s="1"/>
  <c r="E263" i="7" a="1"/>
  <c r="E263" i="7" s="1"/>
  <c r="K263" i="7" s="1"/>
  <c r="C263" i="7" a="1"/>
  <c r="C263" i="7" s="1"/>
  <c r="B263" i="7" a="1"/>
  <c r="B263" i="7" s="1"/>
  <c r="H262" i="7" a="1"/>
  <c r="H262" i="7" s="1"/>
  <c r="G262" i="7" a="1"/>
  <c r="G262" i="7" s="1"/>
  <c r="F262" i="7" a="1"/>
  <c r="F262" i="7" s="1"/>
  <c r="E262" i="7" a="1"/>
  <c r="E262" i="7" s="1"/>
  <c r="K262" i="7" s="1"/>
  <c r="C262" i="7" a="1"/>
  <c r="C262" i="7" s="1"/>
  <c r="B262" i="7" a="1"/>
  <c r="B262" i="7" s="1"/>
  <c r="H261" i="7" a="1"/>
  <c r="H261" i="7" s="1"/>
  <c r="G261" i="7" a="1"/>
  <c r="G261" i="7" s="1"/>
  <c r="N261" i="7" s="1"/>
  <c r="F261" i="7" a="1"/>
  <c r="F261" i="7" s="1"/>
  <c r="E261" i="7" a="1"/>
  <c r="E261" i="7" s="1"/>
  <c r="K261" i="7" s="1"/>
  <c r="C261" i="7" a="1"/>
  <c r="C261" i="7" s="1"/>
  <c r="B261" i="7" a="1"/>
  <c r="B261" i="7" s="1"/>
  <c r="H260" i="7" a="1"/>
  <c r="H260" i="7" s="1"/>
  <c r="G260" i="7" a="1"/>
  <c r="G260" i="7" s="1"/>
  <c r="F260" i="7" a="1"/>
  <c r="F260" i="7" s="1"/>
  <c r="E260" i="7" a="1"/>
  <c r="E260" i="7" s="1"/>
  <c r="C260" i="7" a="1"/>
  <c r="C260" i="7" s="1"/>
  <c r="B260" i="7" a="1"/>
  <c r="B260" i="7" s="1"/>
  <c r="H259" i="7" a="1"/>
  <c r="H259" i="7" s="1"/>
  <c r="G259" i="7" a="1"/>
  <c r="G259" i="7" s="1"/>
  <c r="F259" i="7" a="1"/>
  <c r="F259" i="7" s="1"/>
  <c r="E259" i="7" a="1"/>
  <c r="E259" i="7" s="1"/>
  <c r="K259" i="7" s="1"/>
  <c r="C259" i="7" a="1"/>
  <c r="C259" i="7" s="1"/>
  <c r="B259" i="7" a="1"/>
  <c r="B259" i="7" s="1"/>
  <c r="H258" i="7" a="1"/>
  <c r="H258" i="7" s="1"/>
  <c r="G258" i="7" a="1"/>
  <c r="G258" i="7" s="1"/>
  <c r="F258" i="7" a="1"/>
  <c r="F258" i="7" s="1"/>
  <c r="E258" i="7" a="1"/>
  <c r="E258" i="7" s="1"/>
  <c r="L258" i="7" s="1"/>
  <c r="C258" i="7" a="1"/>
  <c r="C258" i="7" s="1"/>
  <c r="B258" i="7" a="1"/>
  <c r="B258" i="7" s="1"/>
  <c r="H257" i="7" a="1"/>
  <c r="H257" i="7" s="1"/>
  <c r="G257" i="7" a="1"/>
  <c r="G257" i="7" s="1"/>
  <c r="F257" i="7" a="1"/>
  <c r="F257" i="7" s="1"/>
  <c r="E257" i="7" a="1"/>
  <c r="E257" i="7" s="1"/>
  <c r="K257" i="7" s="1"/>
  <c r="M257" i="7" s="1" a="1"/>
  <c r="M257" i="7" s="1"/>
  <c r="C257" i="7" a="1"/>
  <c r="C257" i="7" s="1"/>
  <c r="B257" i="7" a="1"/>
  <c r="B257" i="7" s="1"/>
  <c r="H256" i="7" a="1"/>
  <c r="H256" i="7" s="1"/>
  <c r="G256" i="7" a="1"/>
  <c r="G256" i="7" s="1"/>
  <c r="F256" i="7"/>
  <c r="O256" i="7" s="1"/>
  <c r="F256" i="7" a="1"/>
  <c r="E256" i="7" a="1"/>
  <c r="E256" i="7" s="1"/>
  <c r="K256" i="7" s="1"/>
  <c r="C256" i="7" a="1"/>
  <c r="C256" i="7" s="1"/>
  <c r="B256" i="7" a="1"/>
  <c r="B256" i="7" s="1"/>
  <c r="H255" i="7" a="1"/>
  <c r="H255" i="7" s="1"/>
  <c r="G255" i="7" a="1"/>
  <c r="G255" i="7" s="1"/>
  <c r="F255" i="7" a="1"/>
  <c r="F255" i="7" s="1"/>
  <c r="E255" i="7" a="1"/>
  <c r="E255" i="7" s="1"/>
  <c r="K255" i="7" s="1"/>
  <c r="C255" i="7" a="1"/>
  <c r="C255" i="7" s="1"/>
  <c r="B255" i="7" a="1"/>
  <c r="B255" i="7" s="1"/>
  <c r="H254" i="7" a="1"/>
  <c r="H254" i="7" s="1"/>
  <c r="G254" i="7" a="1"/>
  <c r="G254" i="7" s="1"/>
  <c r="F254" i="7" a="1"/>
  <c r="F254" i="7" s="1"/>
  <c r="E254" i="7" a="1"/>
  <c r="E254" i="7" s="1"/>
  <c r="C254" i="7" a="1"/>
  <c r="C254" i="7" s="1"/>
  <c r="B254" i="7" a="1"/>
  <c r="B254" i="7" s="1"/>
  <c r="H253" i="7" a="1"/>
  <c r="H253" i="7" s="1"/>
  <c r="G253" i="7" a="1"/>
  <c r="G253" i="7" s="1"/>
  <c r="F253" i="7" a="1"/>
  <c r="F253" i="7" s="1"/>
  <c r="E253" i="7" a="1"/>
  <c r="E253" i="7" s="1"/>
  <c r="L253" i="7" s="1"/>
  <c r="C253" i="7" a="1"/>
  <c r="C253" i="7" s="1"/>
  <c r="B253" i="7" a="1"/>
  <c r="B253" i="7" s="1"/>
  <c r="H252" i="7" a="1"/>
  <c r="H252" i="7" s="1"/>
  <c r="G252" i="7" a="1"/>
  <c r="G252" i="7" s="1"/>
  <c r="F252" i="7" a="1"/>
  <c r="F252" i="7" s="1"/>
  <c r="E252" i="7" a="1"/>
  <c r="E252" i="7" s="1"/>
  <c r="K252" i="7" s="1"/>
  <c r="C252" i="7" a="1"/>
  <c r="C252" i="7" s="1"/>
  <c r="B252" i="7" a="1"/>
  <c r="B252" i="7" s="1"/>
  <c r="H251" i="7" a="1"/>
  <c r="H251" i="7" s="1"/>
  <c r="G251" i="7" a="1"/>
  <c r="G251" i="7" s="1"/>
  <c r="F251" i="7" a="1"/>
  <c r="F251" i="7" s="1"/>
  <c r="E251" i="7" a="1"/>
  <c r="E251" i="7" s="1"/>
  <c r="K251" i="7" s="1"/>
  <c r="C251" i="7" a="1"/>
  <c r="C251" i="7" s="1"/>
  <c r="B251" i="7" a="1"/>
  <c r="B251" i="7" s="1"/>
  <c r="H250" i="7" a="1"/>
  <c r="H250" i="7" s="1"/>
  <c r="G250" i="7" a="1"/>
  <c r="G250" i="7" s="1"/>
  <c r="F250" i="7" a="1"/>
  <c r="F250" i="7" s="1"/>
  <c r="E250" i="7" a="1"/>
  <c r="E250" i="7" s="1"/>
  <c r="L250" i="7" s="1"/>
  <c r="C250" i="7" a="1"/>
  <c r="C250" i="7" s="1"/>
  <c r="B250" i="7" a="1"/>
  <c r="B250" i="7" s="1"/>
  <c r="H249" i="7" a="1"/>
  <c r="H249" i="7" s="1"/>
  <c r="G249" i="7" a="1"/>
  <c r="G249" i="7" s="1"/>
  <c r="N249" i="7" s="1"/>
  <c r="F249" i="7" a="1"/>
  <c r="F249" i="7" s="1"/>
  <c r="E249" i="7" a="1"/>
  <c r="E249" i="7" s="1"/>
  <c r="K249" i="7" s="1"/>
  <c r="M249" i="7" s="1" a="1"/>
  <c r="M249" i="7" s="1"/>
  <c r="C249" i="7" a="1"/>
  <c r="C249" i="7" s="1"/>
  <c r="B249" i="7" a="1"/>
  <c r="B249" i="7" s="1"/>
  <c r="H248" i="7" a="1"/>
  <c r="H248" i="7" s="1"/>
  <c r="G248" i="7" a="1"/>
  <c r="G248" i="7" s="1"/>
  <c r="F248" i="7" a="1"/>
  <c r="F248" i="7" s="1"/>
  <c r="E248" i="7" a="1"/>
  <c r="E248" i="7" s="1"/>
  <c r="C248" i="7" a="1"/>
  <c r="C248" i="7" s="1"/>
  <c r="B248" i="7"/>
  <c r="B248" i="7" a="1"/>
  <c r="H247" i="7" a="1"/>
  <c r="H247" i="7" s="1"/>
  <c r="N247" i="7" s="1"/>
  <c r="G247" i="7" a="1"/>
  <c r="G247" i="7" s="1"/>
  <c r="F247" i="7" a="1"/>
  <c r="F247" i="7" s="1"/>
  <c r="E247" i="7" a="1"/>
  <c r="E247" i="7" s="1"/>
  <c r="K247" i="7" s="1"/>
  <c r="C247" i="7" a="1"/>
  <c r="C247" i="7" s="1"/>
  <c r="B247" i="7" a="1"/>
  <c r="B247" i="7" s="1"/>
  <c r="H246" i="7" a="1"/>
  <c r="H246" i="7" s="1"/>
  <c r="G246" i="7" a="1"/>
  <c r="G246" i="7" s="1"/>
  <c r="F246" i="7"/>
  <c r="F246" i="7" a="1"/>
  <c r="E246" i="7" a="1"/>
  <c r="E246" i="7" s="1"/>
  <c r="C246" i="7" a="1"/>
  <c r="C246" i="7" s="1"/>
  <c r="B246" i="7"/>
  <c r="B246" i="7" a="1"/>
  <c r="H245" i="7" a="1"/>
  <c r="H245" i="7" s="1"/>
  <c r="G245" i="7" a="1"/>
  <c r="G245" i="7" s="1"/>
  <c r="F245" i="7" a="1"/>
  <c r="F245" i="7" s="1"/>
  <c r="E245" i="7" a="1"/>
  <c r="E245" i="7" s="1"/>
  <c r="L245" i="7" s="1"/>
  <c r="C245" i="7" a="1"/>
  <c r="C245" i="7" s="1"/>
  <c r="B245" i="7" a="1"/>
  <c r="B245" i="7" s="1"/>
  <c r="H244" i="7" a="1"/>
  <c r="H244" i="7" s="1"/>
  <c r="G244" i="7" a="1"/>
  <c r="G244" i="7" s="1"/>
  <c r="F244" i="7" a="1"/>
  <c r="F244" i="7" s="1"/>
  <c r="E244" i="7"/>
  <c r="E244" i="7" a="1"/>
  <c r="C244" i="7" a="1"/>
  <c r="C244" i="7" s="1"/>
  <c r="B244" i="7" a="1"/>
  <c r="B244" i="7" s="1"/>
  <c r="H243" i="7" a="1"/>
  <c r="H243" i="7" s="1"/>
  <c r="G243" i="7" a="1"/>
  <c r="G243" i="7" s="1"/>
  <c r="F243" i="7" a="1"/>
  <c r="F243" i="7" s="1"/>
  <c r="E243" i="7" a="1"/>
  <c r="E243" i="7" s="1"/>
  <c r="K243" i="7" s="1"/>
  <c r="C243" i="7" a="1"/>
  <c r="C243" i="7" s="1"/>
  <c r="B243" i="7" a="1"/>
  <c r="B243" i="7" s="1"/>
  <c r="H242" i="7"/>
  <c r="H242" i="7" a="1"/>
  <c r="G242" i="7" a="1"/>
  <c r="G242" i="7" s="1"/>
  <c r="F242" i="7" a="1"/>
  <c r="F242" i="7" s="1"/>
  <c r="E242" i="7" a="1"/>
  <c r="E242" i="7" s="1"/>
  <c r="L242" i="7" s="1"/>
  <c r="C242" i="7" a="1"/>
  <c r="C242" i="7" s="1"/>
  <c r="B242" i="7" a="1"/>
  <c r="B242" i="7" s="1"/>
  <c r="H241" i="7" a="1"/>
  <c r="H241" i="7" s="1"/>
  <c r="G241" i="7" a="1"/>
  <c r="G241" i="7" s="1"/>
  <c r="N241" i="7" s="1"/>
  <c r="F241" i="7" a="1"/>
  <c r="F241" i="7" s="1"/>
  <c r="E241" i="7" a="1"/>
  <c r="E241" i="7" s="1"/>
  <c r="K241" i="7" s="1"/>
  <c r="M241" i="7" s="1" a="1"/>
  <c r="M241" i="7" s="1"/>
  <c r="C241" i="7" a="1"/>
  <c r="C241" i="7" s="1"/>
  <c r="B241" i="7" a="1"/>
  <c r="B241" i="7" s="1"/>
  <c r="H240" i="7" a="1"/>
  <c r="H240" i="7" s="1"/>
  <c r="G240" i="7"/>
  <c r="G240" i="7" a="1"/>
  <c r="F240" i="7" a="1"/>
  <c r="F240" i="7" s="1"/>
  <c r="E240" i="7" a="1"/>
  <c r="E240" i="7" s="1"/>
  <c r="K240" i="7" s="1"/>
  <c r="M240" i="7" s="1" a="1"/>
  <c r="M240" i="7" s="1"/>
  <c r="C240" i="7" a="1"/>
  <c r="C240" i="7" s="1"/>
  <c r="B240" i="7" a="1"/>
  <c r="B240" i="7" s="1"/>
  <c r="H239" i="7" a="1"/>
  <c r="H239" i="7" s="1"/>
  <c r="G239" i="7" a="1"/>
  <c r="G239" i="7" s="1"/>
  <c r="F239" i="7" a="1"/>
  <c r="F239" i="7" s="1"/>
  <c r="E239" i="7" a="1"/>
  <c r="E239" i="7" s="1"/>
  <c r="K239" i="7" s="1"/>
  <c r="C239" i="7" a="1"/>
  <c r="C239" i="7" s="1"/>
  <c r="B239" i="7" a="1"/>
  <c r="B239" i="7" s="1"/>
  <c r="H238" i="7" a="1"/>
  <c r="H238" i="7" s="1"/>
  <c r="G238" i="7" a="1"/>
  <c r="G238" i="7" s="1"/>
  <c r="F238" i="7" a="1"/>
  <c r="F238" i="7" s="1"/>
  <c r="E238" i="7" a="1"/>
  <c r="E238" i="7" s="1"/>
  <c r="K238" i="7" s="1"/>
  <c r="C238" i="7" a="1"/>
  <c r="C238" i="7" s="1"/>
  <c r="B238" i="7" a="1"/>
  <c r="B238" i="7" s="1"/>
  <c r="H237" i="7" a="1"/>
  <c r="H237" i="7" s="1"/>
  <c r="G237" i="7" a="1"/>
  <c r="G237" i="7" s="1"/>
  <c r="F237" i="7" a="1"/>
  <c r="F237" i="7" s="1"/>
  <c r="E237" i="7" a="1"/>
  <c r="E237" i="7" s="1"/>
  <c r="K237" i="7" s="1"/>
  <c r="C237" i="7" a="1"/>
  <c r="C237" i="7" s="1"/>
  <c r="B237" i="7" a="1"/>
  <c r="B237" i="7" s="1"/>
  <c r="H236" i="7" a="1"/>
  <c r="H236" i="7" s="1"/>
  <c r="G236" i="7"/>
  <c r="G236" i="7" a="1"/>
  <c r="F236" i="7" a="1"/>
  <c r="F236" i="7" s="1"/>
  <c r="E236" i="7" a="1"/>
  <c r="E236" i="7" s="1"/>
  <c r="K236" i="7" s="1"/>
  <c r="C236" i="7" a="1"/>
  <c r="C236" i="7" s="1"/>
  <c r="B236" i="7" a="1"/>
  <c r="B236" i="7" s="1"/>
  <c r="H235" i="7" a="1"/>
  <c r="H235" i="7" s="1"/>
  <c r="G235" i="7" a="1"/>
  <c r="G235" i="7" s="1"/>
  <c r="F235" i="7"/>
  <c r="O235" i="7" s="1"/>
  <c r="F235" i="7" a="1"/>
  <c r="E235" i="7" a="1"/>
  <c r="E235" i="7" s="1"/>
  <c r="K235" i="7" s="1"/>
  <c r="C235" i="7" a="1"/>
  <c r="C235" i="7" s="1"/>
  <c r="B235" i="7" a="1"/>
  <c r="B235" i="7" s="1"/>
  <c r="H234" i="7" a="1"/>
  <c r="H234" i="7" s="1"/>
  <c r="G234" i="7" a="1"/>
  <c r="G234" i="7" s="1"/>
  <c r="F234" i="7"/>
  <c r="O234" i="7" s="1"/>
  <c r="F234" i="7" a="1"/>
  <c r="E234" i="7" a="1"/>
  <c r="E234" i="7" s="1"/>
  <c r="C234" i="7" a="1"/>
  <c r="C234" i="7" s="1"/>
  <c r="B234" i="7"/>
  <c r="B234" i="7" a="1"/>
  <c r="H233" i="7" a="1"/>
  <c r="H233" i="7" s="1"/>
  <c r="G233" i="7" a="1"/>
  <c r="G233" i="7" s="1"/>
  <c r="F233" i="7" a="1"/>
  <c r="F233" i="7" s="1"/>
  <c r="E233" i="7" a="1"/>
  <c r="E233" i="7" s="1"/>
  <c r="C233" i="7" a="1"/>
  <c r="C233" i="7" s="1"/>
  <c r="B233" i="7" a="1"/>
  <c r="B233" i="7" s="1"/>
  <c r="H232" i="7"/>
  <c r="H232" i="7" a="1"/>
  <c r="G232" i="7" a="1"/>
  <c r="G232" i="7" s="1"/>
  <c r="F232" i="7" a="1"/>
  <c r="F232" i="7" s="1"/>
  <c r="E232" i="7" a="1"/>
  <c r="E232" i="7" s="1"/>
  <c r="K232" i="7" s="1"/>
  <c r="C232" i="7" a="1"/>
  <c r="C232" i="7" s="1"/>
  <c r="B232" i="7" a="1"/>
  <c r="B232" i="7" s="1"/>
  <c r="H231" i="7"/>
  <c r="H231" i="7" a="1"/>
  <c r="G231" i="7" a="1"/>
  <c r="G231" i="7" s="1"/>
  <c r="F231" i="7" a="1"/>
  <c r="F231" i="7" s="1"/>
  <c r="E231" i="7" a="1"/>
  <c r="E231" i="7" s="1"/>
  <c r="K231" i="7" s="1"/>
  <c r="C231" i="7" a="1"/>
  <c r="C231" i="7" s="1"/>
  <c r="B231" i="7" a="1"/>
  <c r="B231" i="7" s="1"/>
  <c r="H230" i="7" a="1"/>
  <c r="H230" i="7" s="1"/>
  <c r="G230" i="7" a="1"/>
  <c r="G230" i="7" s="1"/>
  <c r="F230" i="7"/>
  <c r="F230" i="7" a="1"/>
  <c r="E230" i="7" a="1"/>
  <c r="E230" i="7" s="1"/>
  <c r="K230" i="7" s="1"/>
  <c r="C230" i="7" a="1"/>
  <c r="C230" i="7" s="1"/>
  <c r="B230" i="7"/>
  <c r="B230" i="7" a="1"/>
  <c r="H229" i="7" a="1"/>
  <c r="H229" i="7" s="1"/>
  <c r="G229" i="7" a="1"/>
  <c r="G229" i="7" s="1"/>
  <c r="F229" i="7" a="1"/>
  <c r="F229" i="7" s="1"/>
  <c r="E229" i="7" a="1"/>
  <c r="E229" i="7" s="1"/>
  <c r="K229" i="7" s="1"/>
  <c r="M229" i="7" s="1" a="1"/>
  <c r="M229" i="7" s="1"/>
  <c r="C229" i="7" a="1"/>
  <c r="C229" i="7" s="1"/>
  <c r="B229" i="7" a="1"/>
  <c r="B229" i="7" s="1"/>
  <c r="H228" i="7" a="1"/>
  <c r="H228" i="7" s="1"/>
  <c r="G228" i="7" a="1"/>
  <c r="G228" i="7" s="1"/>
  <c r="F228" i="7" a="1"/>
  <c r="F228" i="7" s="1"/>
  <c r="E228" i="7" a="1"/>
  <c r="E228" i="7" s="1"/>
  <c r="C228" i="7" a="1"/>
  <c r="C228" i="7" s="1"/>
  <c r="B228" i="7" a="1"/>
  <c r="B228" i="7" s="1"/>
  <c r="H227" i="7" a="1"/>
  <c r="H227" i="7" s="1"/>
  <c r="G227" i="7" a="1"/>
  <c r="G227" i="7" s="1"/>
  <c r="F227" i="7" a="1"/>
  <c r="F227" i="7" s="1"/>
  <c r="E227" i="7" a="1"/>
  <c r="E227" i="7" s="1"/>
  <c r="L227" i="7" s="1"/>
  <c r="C227" i="7" a="1"/>
  <c r="C227" i="7" s="1"/>
  <c r="B227" i="7" a="1"/>
  <c r="B227" i="7" s="1"/>
  <c r="H226" i="7" a="1"/>
  <c r="H226" i="7" s="1"/>
  <c r="G226" i="7" a="1"/>
  <c r="G226" i="7" s="1"/>
  <c r="F226" i="7" a="1"/>
  <c r="F226" i="7" s="1"/>
  <c r="E226" i="7"/>
  <c r="E226" i="7" a="1"/>
  <c r="C226" i="7" a="1"/>
  <c r="C226" i="7" s="1"/>
  <c r="B226" i="7" a="1"/>
  <c r="B226" i="7" s="1"/>
  <c r="H225" i="7" a="1"/>
  <c r="H225" i="7" s="1"/>
  <c r="G225" i="7" a="1"/>
  <c r="G225" i="7" s="1"/>
  <c r="F225" i="7" a="1"/>
  <c r="F225" i="7" s="1"/>
  <c r="E225" i="7" a="1"/>
  <c r="E225" i="7" s="1"/>
  <c r="K225" i="7" s="1"/>
  <c r="C225" i="7" a="1"/>
  <c r="C225" i="7" s="1"/>
  <c r="B225" i="7" a="1"/>
  <c r="B225" i="7" s="1"/>
  <c r="H224" i="7" a="1"/>
  <c r="H224" i="7" s="1"/>
  <c r="G224" i="7" a="1"/>
  <c r="G224" i="7" s="1"/>
  <c r="F224" i="7" a="1"/>
  <c r="F224" i="7" s="1"/>
  <c r="E224" i="7" a="1"/>
  <c r="E224" i="7" s="1"/>
  <c r="C224" i="7" a="1"/>
  <c r="C224" i="7" s="1"/>
  <c r="B224" i="7" a="1"/>
  <c r="B224" i="7" s="1"/>
  <c r="H223" i="7" a="1"/>
  <c r="H223" i="7" s="1"/>
  <c r="G223" i="7" a="1"/>
  <c r="G223" i="7" s="1"/>
  <c r="F223" i="7" a="1"/>
  <c r="F223" i="7" s="1"/>
  <c r="E223" i="7" a="1"/>
  <c r="E223" i="7" s="1"/>
  <c r="K223" i="7" s="1"/>
  <c r="C223" i="7" a="1"/>
  <c r="C223" i="7" s="1"/>
  <c r="B223" i="7" a="1"/>
  <c r="B223" i="7" s="1"/>
  <c r="H222" i="7" a="1"/>
  <c r="H222" i="7" s="1"/>
  <c r="G222" i="7" a="1"/>
  <c r="G222" i="7" s="1"/>
  <c r="F222" i="7" a="1"/>
  <c r="F222" i="7" s="1"/>
  <c r="E222" i="7" a="1"/>
  <c r="E222" i="7" s="1"/>
  <c r="K222" i="7" s="1"/>
  <c r="C222" i="7" a="1"/>
  <c r="C222" i="7" s="1"/>
  <c r="B222" i="7" a="1"/>
  <c r="B222" i="7" s="1"/>
  <c r="H221" i="7" a="1"/>
  <c r="H221" i="7" s="1"/>
  <c r="G221" i="7" a="1"/>
  <c r="G221" i="7" s="1"/>
  <c r="F221" i="7" a="1"/>
  <c r="F221" i="7" s="1"/>
  <c r="E221" i="7" a="1"/>
  <c r="E221" i="7" s="1"/>
  <c r="K221" i="7" s="1"/>
  <c r="M221" i="7" s="1" a="1"/>
  <c r="M221" i="7" s="1"/>
  <c r="C221" i="7" a="1"/>
  <c r="C221" i="7" s="1"/>
  <c r="B221" i="7" a="1"/>
  <c r="B221" i="7" s="1"/>
  <c r="H220" i="7" a="1"/>
  <c r="H220" i="7" s="1"/>
  <c r="G220" i="7" a="1"/>
  <c r="G220" i="7" s="1"/>
  <c r="F220" i="7" a="1"/>
  <c r="F220" i="7" s="1"/>
  <c r="E220" i="7" a="1"/>
  <c r="E220" i="7" s="1"/>
  <c r="K220" i="7" s="1"/>
  <c r="C220" i="7" a="1"/>
  <c r="C220" i="7" s="1"/>
  <c r="B220" i="7" a="1"/>
  <c r="B220" i="7" s="1"/>
  <c r="K219" i="7"/>
  <c r="H219" i="7" a="1"/>
  <c r="H219" i="7" s="1"/>
  <c r="G219" i="7" a="1"/>
  <c r="G219" i="7" s="1"/>
  <c r="N219" i="7" s="1"/>
  <c r="F219" i="7" a="1"/>
  <c r="F219" i="7" s="1"/>
  <c r="O219" i="7" s="1"/>
  <c r="E219" i="7" a="1"/>
  <c r="E219" i="7" s="1"/>
  <c r="C219" i="7" a="1"/>
  <c r="C219" i="7" s="1"/>
  <c r="B219" i="7" a="1"/>
  <c r="B219" i="7" s="1"/>
  <c r="H218" i="7" a="1"/>
  <c r="H218" i="7" s="1"/>
  <c r="G218" i="7" a="1"/>
  <c r="G218" i="7" s="1"/>
  <c r="F218" i="7" a="1"/>
  <c r="F218" i="7" s="1"/>
  <c r="E218" i="7" a="1"/>
  <c r="E218" i="7" s="1"/>
  <c r="C218" i="7" a="1"/>
  <c r="C218" i="7" s="1"/>
  <c r="B218" i="7" a="1"/>
  <c r="B218" i="7" s="1"/>
  <c r="H217" i="7" a="1"/>
  <c r="H217" i="7" s="1"/>
  <c r="G217" i="7" a="1"/>
  <c r="G217" i="7" s="1"/>
  <c r="F217" i="7" a="1"/>
  <c r="F217" i="7" s="1"/>
  <c r="E217" i="7" a="1"/>
  <c r="E217" i="7" s="1"/>
  <c r="L217" i="7" s="1"/>
  <c r="C217" i="7" a="1"/>
  <c r="C217" i="7" s="1"/>
  <c r="B217" i="7" a="1"/>
  <c r="B217" i="7" s="1"/>
  <c r="H216" i="7" a="1"/>
  <c r="H216" i="7" s="1"/>
  <c r="G216" i="7" a="1"/>
  <c r="G216" i="7" s="1"/>
  <c r="F216" i="7" a="1"/>
  <c r="F216" i="7" s="1"/>
  <c r="E216" i="7" a="1"/>
  <c r="E216" i="7" s="1"/>
  <c r="K216" i="7" s="1"/>
  <c r="C216" i="7" a="1"/>
  <c r="C216" i="7" s="1"/>
  <c r="B216" i="7" a="1"/>
  <c r="B216" i="7" s="1"/>
  <c r="H215" i="7" a="1"/>
  <c r="H215" i="7" s="1"/>
  <c r="G215" i="7" a="1"/>
  <c r="G215" i="7" s="1"/>
  <c r="F215" i="7" a="1"/>
  <c r="F215" i="7" s="1"/>
  <c r="E215" i="7" a="1"/>
  <c r="E215" i="7" s="1"/>
  <c r="K215" i="7" s="1"/>
  <c r="C215" i="7" a="1"/>
  <c r="C215" i="7" s="1"/>
  <c r="B215" i="7" a="1"/>
  <c r="B215" i="7" s="1"/>
  <c r="H214" i="7" a="1"/>
  <c r="H214" i="7" s="1"/>
  <c r="G214" i="7" a="1"/>
  <c r="G214" i="7" s="1"/>
  <c r="F214" i="7" a="1"/>
  <c r="F214" i="7" s="1"/>
  <c r="E214" i="7" a="1"/>
  <c r="E214" i="7" s="1"/>
  <c r="K214" i="7" s="1"/>
  <c r="C214" i="7" a="1"/>
  <c r="C214" i="7" s="1"/>
  <c r="B214" i="7" a="1"/>
  <c r="B214" i="7" s="1"/>
  <c r="H213" i="7" a="1"/>
  <c r="H213" i="7" s="1"/>
  <c r="G213" i="7" a="1"/>
  <c r="G213" i="7" s="1"/>
  <c r="F213" i="7" a="1"/>
  <c r="F213" i="7" s="1"/>
  <c r="E213" i="7" a="1"/>
  <c r="E213" i="7" s="1"/>
  <c r="K213" i="7" s="1"/>
  <c r="M213" i="7" s="1" a="1"/>
  <c r="M213" i="7" s="1"/>
  <c r="C213" i="7" a="1"/>
  <c r="C213" i="7" s="1"/>
  <c r="B213" i="7" a="1"/>
  <c r="B213" i="7" s="1"/>
  <c r="H212" i="7" a="1"/>
  <c r="H212" i="7" s="1"/>
  <c r="G212" i="7" a="1"/>
  <c r="G212" i="7" s="1"/>
  <c r="F212" i="7" a="1"/>
  <c r="F212" i="7" s="1"/>
  <c r="E212" i="7" a="1"/>
  <c r="E212" i="7" s="1"/>
  <c r="K212" i="7" s="1"/>
  <c r="M212" i="7" s="1" a="1"/>
  <c r="M212" i="7" s="1"/>
  <c r="C212" i="7" a="1"/>
  <c r="C212" i="7" s="1"/>
  <c r="B212" i="7" a="1"/>
  <c r="B212" i="7" s="1"/>
  <c r="H211" i="7" a="1"/>
  <c r="H211" i="7" s="1"/>
  <c r="G211" i="7" a="1"/>
  <c r="G211" i="7" s="1"/>
  <c r="F211" i="7" a="1"/>
  <c r="F211" i="7" s="1"/>
  <c r="E211" i="7" a="1"/>
  <c r="E211" i="7" s="1"/>
  <c r="L211" i="7" s="1"/>
  <c r="C211" i="7" a="1"/>
  <c r="C211" i="7" s="1"/>
  <c r="B211" i="7" a="1"/>
  <c r="B211" i="7" s="1"/>
  <c r="H210" i="7" a="1"/>
  <c r="H210" i="7" s="1"/>
  <c r="G210" i="7" a="1"/>
  <c r="G210" i="7" s="1"/>
  <c r="F210" i="7" a="1"/>
  <c r="F210" i="7" s="1"/>
  <c r="E210" i="7" a="1"/>
  <c r="E210" i="7" s="1"/>
  <c r="C210" i="7" a="1"/>
  <c r="C210" i="7" s="1"/>
  <c r="B210" i="7" a="1"/>
  <c r="B210" i="7" s="1"/>
  <c r="H209" i="7" a="1"/>
  <c r="H209" i="7" s="1"/>
  <c r="G209" i="7" a="1"/>
  <c r="G209" i="7" s="1"/>
  <c r="N209" i="7" s="1"/>
  <c r="F209" i="7" a="1"/>
  <c r="F209" i="7" s="1"/>
  <c r="E209" i="7" a="1"/>
  <c r="E209" i="7" s="1"/>
  <c r="K209" i="7" s="1"/>
  <c r="C209" i="7" a="1"/>
  <c r="C209" i="7" s="1"/>
  <c r="B209" i="7" a="1"/>
  <c r="B209" i="7" s="1"/>
  <c r="H208" i="7" a="1"/>
  <c r="H208" i="7" s="1"/>
  <c r="G208" i="7" a="1"/>
  <c r="G208" i="7" s="1"/>
  <c r="F208" i="7" a="1"/>
  <c r="F208" i="7" s="1"/>
  <c r="E208" i="7"/>
  <c r="E208" i="7" a="1"/>
  <c r="C208" i="7" a="1"/>
  <c r="C208" i="7" s="1"/>
  <c r="B208" i="7" a="1"/>
  <c r="B208" i="7" s="1"/>
  <c r="H207" i="7" a="1"/>
  <c r="H207" i="7" s="1"/>
  <c r="G207" i="7" a="1"/>
  <c r="G207" i="7" s="1"/>
  <c r="F207" i="7" a="1"/>
  <c r="F207" i="7" s="1"/>
  <c r="E207" i="7" a="1"/>
  <c r="E207" i="7" s="1"/>
  <c r="K207" i="7" s="1"/>
  <c r="C207" i="7" a="1"/>
  <c r="C207" i="7" s="1"/>
  <c r="B207" i="7" a="1"/>
  <c r="B207" i="7" s="1"/>
  <c r="H206" i="7" a="1"/>
  <c r="H206" i="7" s="1"/>
  <c r="G206" i="7" a="1"/>
  <c r="G206" i="7" s="1"/>
  <c r="F206" i="7" a="1"/>
  <c r="F206" i="7" s="1"/>
  <c r="E206" i="7" a="1"/>
  <c r="E206" i="7" s="1"/>
  <c r="K206" i="7" s="1"/>
  <c r="C206" i="7" a="1"/>
  <c r="C206" i="7" s="1"/>
  <c r="B206" i="7" a="1"/>
  <c r="B206" i="7" s="1"/>
  <c r="H205" i="7" a="1"/>
  <c r="H205" i="7" s="1"/>
  <c r="G205" i="7" a="1"/>
  <c r="G205" i="7" s="1"/>
  <c r="F205" i="7" a="1"/>
  <c r="F205" i="7" s="1"/>
  <c r="E205" i="7" a="1"/>
  <c r="E205" i="7" s="1"/>
  <c r="K205" i="7" s="1"/>
  <c r="M205" i="7" s="1" a="1"/>
  <c r="M205" i="7" s="1"/>
  <c r="C205" i="7" a="1"/>
  <c r="C205" i="7" s="1"/>
  <c r="B205" i="7" a="1"/>
  <c r="B205" i="7" s="1"/>
  <c r="H204" i="7" a="1"/>
  <c r="H204" i="7" s="1"/>
  <c r="G204" i="7" a="1"/>
  <c r="G204" i="7" s="1"/>
  <c r="F204" i="7" a="1"/>
  <c r="F204" i="7" s="1"/>
  <c r="E204" i="7" a="1"/>
  <c r="E204" i="7" s="1"/>
  <c r="K204" i="7" s="1"/>
  <c r="C204" i="7" a="1"/>
  <c r="C204" i="7" s="1"/>
  <c r="B204" i="7" a="1"/>
  <c r="B204" i="7" s="1"/>
  <c r="H203" i="7" a="1"/>
  <c r="H203" i="7" s="1"/>
  <c r="G203" i="7" a="1"/>
  <c r="G203" i="7" s="1"/>
  <c r="F203" i="7" a="1"/>
  <c r="F203" i="7" s="1"/>
  <c r="E203" i="7" a="1"/>
  <c r="E203" i="7" s="1"/>
  <c r="K203" i="7" s="1"/>
  <c r="C203" i="7" a="1"/>
  <c r="C203" i="7" s="1"/>
  <c r="B203" i="7" a="1"/>
  <c r="B203" i="7" s="1"/>
  <c r="H202" i="7" a="1"/>
  <c r="H202" i="7" s="1"/>
  <c r="G202" i="7" a="1"/>
  <c r="G202" i="7" s="1"/>
  <c r="F202" i="7" a="1"/>
  <c r="F202" i="7" s="1"/>
  <c r="E202" i="7" a="1"/>
  <c r="E202" i="7" s="1"/>
  <c r="O202" i="7" s="1"/>
  <c r="C202" i="7" a="1"/>
  <c r="C202" i="7" s="1"/>
  <c r="B202" i="7" a="1"/>
  <c r="B202" i="7" s="1"/>
  <c r="H201" i="7" a="1"/>
  <c r="H201" i="7" s="1"/>
  <c r="G201" i="7" a="1"/>
  <c r="G201" i="7" s="1"/>
  <c r="F201" i="7" a="1"/>
  <c r="F201" i="7" s="1"/>
  <c r="E201" i="7" a="1"/>
  <c r="E201" i="7" s="1"/>
  <c r="K201" i="7" s="1"/>
  <c r="C201" i="7" a="1"/>
  <c r="C201" i="7" s="1"/>
  <c r="B201" i="7" a="1"/>
  <c r="B201" i="7" s="1"/>
  <c r="H200" i="7"/>
  <c r="H200" i="7" a="1"/>
  <c r="G200" i="7" a="1"/>
  <c r="G200" i="7" s="1"/>
  <c r="F200" i="7"/>
  <c r="F200" i="7" a="1"/>
  <c r="E200" i="7" a="1"/>
  <c r="E200" i="7" s="1"/>
  <c r="K200" i="7" s="1"/>
  <c r="C200" i="7" a="1"/>
  <c r="C200" i="7" s="1"/>
  <c r="B200" i="7" a="1"/>
  <c r="B200" i="7" s="1"/>
  <c r="H199" i="7" a="1"/>
  <c r="H199" i="7" s="1"/>
  <c r="G199" i="7" a="1"/>
  <c r="G199" i="7" s="1"/>
  <c r="F199" i="7" a="1"/>
  <c r="F199" i="7" s="1"/>
  <c r="E199" i="7" a="1"/>
  <c r="E199" i="7" s="1"/>
  <c r="K199" i="7" s="1"/>
  <c r="C199" i="7" a="1"/>
  <c r="C199" i="7" s="1"/>
  <c r="B199" i="7" a="1"/>
  <c r="B199" i="7" s="1"/>
  <c r="H198" i="7" a="1"/>
  <c r="H198" i="7" s="1"/>
  <c r="G198" i="7" a="1"/>
  <c r="G198" i="7" s="1"/>
  <c r="F198" i="7" a="1"/>
  <c r="F198" i="7" s="1"/>
  <c r="O198" i="7" s="1"/>
  <c r="E198" i="7" a="1"/>
  <c r="E198" i="7" s="1"/>
  <c r="K198" i="7" s="1"/>
  <c r="C198" i="7" a="1"/>
  <c r="C198" i="7" s="1"/>
  <c r="B198" i="7" a="1"/>
  <c r="B198" i="7" s="1"/>
  <c r="H197" i="7" a="1"/>
  <c r="H197" i="7" s="1"/>
  <c r="G197" i="7" a="1"/>
  <c r="G197" i="7" s="1"/>
  <c r="F197" i="7" a="1"/>
  <c r="F197" i="7" s="1"/>
  <c r="E197" i="7" a="1"/>
  <c r="E197" i="7" s="1"/>
  <c r="K197" i="7" s="1"/>
  <c r="M197" i="7" s="1" a="1"/>
  <c r="M197" i="7" s="1"/>
  <c r="C197" i="7" a="1"/>
  <c r="C197" i="7" s="1"/>
  <c r="B197" i="7" a="1"/>
  <c r="B197" i="7" s="1"/>
  <c r="H196" i="7" a="1"/>
  <c r="H196" i="7" s="1"/>
  <c r="G196" i="7" a="1"/>
  <c r="G196" i="7" s="1"/>
  <c r="F196" i="7" a="1"/>
  <c r="F196" i="7" s="1"/>
  <c r="E196" i="7" a="1"/>
  <c r="E196" i="7" s="1"/>
  <c r="K196" i="7" s="1"/>
  <c r="C196" i="7" a="1"/>
  <c r="C196" i="7" s="1"/>
  <c r="B196" i="7" a="1"/>
  <c r="B196" i="7" s="1"/>
  <c r="H195" i="7" a="1"/>
  <c r="H195" i="7" s="1"/>
  <c r="G195" i="7" a="1"/>
  <c r="G195" i="7" s="1"/>
  <c r="F195" i="7" a="1"/>
  <c r="F195" i="7" s="1"/>
  <c r="E195" i="7" a="1"/>
  <c r="E195" i="7" s="1"/>
  <c r="K195" i="7" s="1"/>
  <c r="C195" i="7" a="1"/>
  <c r="C195" i="7" s="1"/>
  <c r="B195" i="7" a="1"/>
  <c r="B195" i="7" s="1"/>
  <c r="H194" i="7" a="1"/>
  <c r="H194" i="7" s="1"/>
  <c r="G194" i="7"/>
  <c r="G194" i="7" a="1"/>
  <c r="F194" i="7" a="1"/>
  <c r="F194" i="7" s="1"/>
  <c r="E194" i="7" a="1"/>
  <c r="E194" i="7" s="1"/>
  <c r="K194" i="7" s="1"/>
  <c r="C194" i="7" a="1"/>
  <c r="C194" i="7" s="1"/>
  <c r="B194" i="7" a="1"/>
  <c r="B194" i="7" s="1"/>
  <c r="H193" i="7" a="1"/>
  <c r="H193" i="7" s="1"/>
  <c r="G193" i="7" a="1"/>
  <c r="G193" i="7" s="1"/>
  <c r="F193" i="7" a="1"/>
  <c r="F193" i="7" s="1"/>
  <c r="O193" i="7" s="1"/>
  <c r="E193" i="7" a="1"/>
  <c r="E193" i="7" s="1"/>
  <c r="L193" i="7" s="1"/>
  <c r="C193" i="7" a="1"/>
  <c r="C193" i="7" s="1"/>
  <c r="B193" i="7" a="1"/>
  <c r="B193" i="7" s="1"/>
  <c r="H192" i="7" a="1"/>
  <c r="H192" i="7" s="1"/>
  <c r="G192" i="7" a="1"/>
  <c r="G192" i="7" s="1"/>
  <c r="F192" i="7" a="1"/>
  <c r="F192" i="7" s="1"/>
  <c r="E192" i="7" a="1"/>
  <c r="E192" i="7" s="1"/>
  <c r="K192" i="7" s="1"/>
  <c r="M192" i="7" s="1" a="1"/>
  <c r="M192" i="7" s="1"/>
  <c r="C192" i="7" a="1"/>
  <c r="C192" i="7" s="1"/>
  <c r="B192" i="7" a="1"/>
  <c r="B192" i="7" s="1"/>
  <c r="H191" i="7" a="1"/>
  <c r="H191" i="7" s="1"/>
  <c r="G191" i="7" a="1"/>
  <c r="G191" i="7" s="1"/>
  <c r="F191" i="7" a="1"/>
  <c r="F191" i="7" s="1"/>
  <c r="E191" i="7" a="1"/>
  <c r="E191" i="7" s="1"/>
  <c r="K191" i="7" s="1"/>
  <c r="C191" i="7" a="1"/>
  <c r="C191" i="7" s="1"/>
  <c r="B191" i="7" a="1"/>
  <c r="B191" i="7" s="1"/>
  <c r="H190" i="7" a="1"/>
  <c r="H190" i="7" s="1"/>
  <c r="G190" i="7" a="1"/>
  <c r="G190" i="7" s="1"/>
  <c r="F190" i="7" a="1"/>
  <c r="F190" i="7" s="1"/>
  <c r="E190" i="7" a="1"/>
  <c r="E190" i="7" s="1"/>
  <c r="K190" i="7" s="1"/>
  <c r="C190" i="7" a="1"/>
  <c r="C190" i="7" s="1"/>
  <c r="B190" i="7" a="1"/>
  <c r="B190" i="7" s="1"/>
  <c r="H189" i="7" a="1"/>
  <c r="H189" i="7" s="1"/>
  <c r="G189" i="7" a="1"/>
  <c r="G189" i="7" s="1"/>
  <c r="N189" i="7" s="1"/>
  <c r="F189" i="7" a="1"/>
  <c r="F189" i="7" s="1"/>
  <c r="E189" i="7" a="1"/>
  <c r="E189" i="7" s="1"/>
  <c r="K189" i="7" s="1"/>
  <c r="M189" i="7" s="1" a="1"/>
  <c r="M189" i="7" s="1"/>
  <c r="C189" i="7" a="1"/>
  <c r="C189" i="7" s="1"/>
  <c r="B189" i="7" a="1"/>
  <c r="B189" i="7" s="1"/>
  <c r="H188" i="7" a="1"/>
  <c r="H188" i="7" s="1"/>
  <c r="G188" i="7" a="1"/>
  <c r="G188" i="7" s="1"/>
  <c r="F188" i="7" a="1"/>
  <c r="F188" i="7" s="1"/>
  <c r="E188" i="7" a="1"/>
  <c r="E188" i="7" s="1"/>
  <c r="K188" i="7" s="1"/>
  <c r="C188" i="7" a="1"/>
  <c r="C188" i="7" s="1"/>
  <c r="B188" i="7" a="1"/>
  <c r="B188" i="7" s="1"/>
  <c r="H187" i="7" a="1"/>
  <c r="H187" i="7" s="1"/>
  <c r="G187" i="7" a="1"/>
  <c r="G187" i="7" s="1"/>
  <c r="F187" i="7" a="1"/>
  <c r="F187" i="7" s="1"/>
  <c r="E187" i="7" a="1"/>
  <c r="E187" i="7" s="1"/>
  <c r="K187" i="7" s="1"/>
  <c r="M187" i="7" s="1" a="1"/>
  <c r="M187" i="7" s="1"/>
  <c r="C187" i="7" a="1"/>
  <c r="C187" i="7" s="1"/>
  <c r="B187" i="7" a="1"/>
  <c r="B187" i="7" s="1"/>
  <c r="H186" i="7" a="1"/>
  <c r="H186" i="7" s="1"/>
  <c r="G186" i="7" a="1"/>
  <c r="G186" i="7" s="1"/>
  <c r="F186" i="7" a="1"/>
  <c r="F186" i="7" s="1"/>
  <c r="E186" i="7" a="1"/>
  <c r="E186" i="7" s="1"/>
  <c r="K186" i="7" s="1"/>
  <c r="C186" i="7" a="1"/>
  <c r="C186" i="7" s="1"/>
  <c r="B186" i="7" a="1"/>
  <c r="B186" i="7" s="1"/>
  <c r="H185" i="7" a="1"/>
  <c r="H185" i="7" s="1"/>
  <c r="G185" i="7" a="1"/>
  <c r="G185" i="7" s="1"/>
  <c r="F185" i="7" a="1"/>
  <c r="F185" i="7" s="1"/>
  <c r="O185" i="7" s="1"/>
  <c r="E185" i="7" a="1"/>
  <c r="E185" i="7" s="1"/>
  <c r="L185" i="7" s="1"/>
  <c r="C185" i="7" a="1"/>
  <c r="C185" i="7" s="1"/>
  <c r="B185" i="7" a="1"/>
  <c r="B185" i="7" s="1"/>
  <c r="H184" i="7" a="1"/>
  <c r="H184" i="7" s="1"/>
  <c r="G184" i="7" a="1"/>
  <c r="G184" i="7" s="1"/>
  <c r="F184" i="7" a="1"/>
  <c r="F184" i="7" s="1"/>
  <c r="E184" i="7" a="1"/>
  <c r="E184" i="7" s="1"/>
  <c r="K184" i="7" s="1"/>
  <c r="C184" i="7" a="1"/>
  <c r="C184" i="7" s="1"/>
  <c r="B184" i="7" a="1"/>
  <c r="B184" i="7" s="1"/>
  <c r="H183" i="7" a="1"/>
  <c r="H183" i="7" s="1"/>
  <c r="G183" i="7" a="1"/>
  <c r="G183" i="7" s="1"/>
  <c r="F183" i="7" a="1"/>
  <c r="F183" i="7" s="1"/>
  <c r="E183" i="7" a="1"/>
  <c r="E183" i="7" s="1"/>
  <c r="K183" i="7" s="1"/>
  <c r="C183" i="7" a="1"/>
  <c r="C183" i="7" s="1"/>
  <c r="B183" i="7" a="1"/>
  <c r="B183" i="7" s="1"/>
  <c r="H182" i="7" a="1"/>
  <c r="H182" i="7" s="1"/>
  <c r="G182" i="7" a="1"/>
  <c r="G182" i="7" s="1"/>
  <c r="F182" i="7" a="1"/>
  <c r="F182" i="7" s="1"/>
  <c r="E182" i="7" a="1"/>
  <c r="E182" i="7" s="1"/>
  <c r="K182" i="7" s="1"/>
  <c r="C182" i="7" a="1"/>
  <c r="C182" i="7" s="1"/>
  <c r="B182" i="7" a="1"/>
  <c r="B182" i="7" s="1"/>
  <c r="H181" i="7" a="1"/>
  <c r="H181" i="7" s="1"/>
  <c r="G181" i="7" a="1"/>
  <c r="G181" i="7" s="1"/>
  <c r="F181" i="7" a="1"/>
  <c r="F181" i="7" s="1"/>
  <c r="E181" i="7" a="1"/>
  <c r="E181" i="7" s="1"/>
  <c r="K181" i="7" s="1"/>
  <c r="M181" i="7" s="1" a="1"/>
  <c r="M181" i="7" s="1"/>
  <c r="C181" i="7" a="1"/>
  <c r="C181" i="7" s="1"/>
  <c r="B181" i="7" a="1"/>
  <c r="B181" i="7" s="1"/>
  <c r="H180" i="7" a="1"/>
  <c r="H180" i="7" s="1"/>
  <c r="G180" i="7" a="1"/>
  <c r="G180" i="7" s="1"/>
  <c r="F180" i="7" a="1"/>
  <c r="F180" i="7" s="1"/>
  <c r="E180" i="7" a="1"/>
  <c r="E180" i="7" s="1"/>
  <c r="K180" i="7" s="1"/>
  <c r="C180" i="7" a="1"/>
  <c r="C180" i="7" s="1"/>
  <c r="B180" i="7" a="1"/>
  <c r="B180" i="7" s="1"/>
  <c r="H179" i="7" a="1"/>
  <c r="H179" i="7" s="1"/>
  <c r="G179" i="7" a="1"/>
  <c r="G179" i="7" s="1"/>
  <c r="F179" i="7" a="1"/>
  <c r="F179" i="7" s="1"/>
  <c r="O179" i="7" s="1"/>
  <c r="E179" i="7" a="1"/>
  <c r="E179" i="7" s="1"/>
  <c r="K179" i="7" s="1"/>
  <c r="C179" i="7" a="1"/>
  <c r="C179" i="7" s="1"/>
  <c r="B179" i="7" a="1"/>
  <c r="B179" i="7" s="1"/>
  <c r="H178" i="7" a="1"/>
  <c r="H178" i="7" s="1"/>
  <c r="G178" i="7" a="1"/>
  <c r="G178" i="7" s="1"/>
  <c r="F178" i="7" a="1"/>
  <c r="F178" i="7" s="1"/>
  <c r="E178" i="7" a="1"/>
  <c r="E178" i="7" s="1"/>
  <c r="K178" i="7" s="1"/>
  <c r="C178" i="7" a="1"/>
  <c r="C178" i="7" s="1"/>
  <c r="B178" i="7" a="1"/>
  <c r="B178" i="7" s="1"/>
  <c r="H177" i="7" a="1"/>
  <c r="H177" i="7" s="1"/>
  <c r="G177" i="7" a="1"/>
  <c r="G177" i="7" s="1"/>
  <c r="F177" i="7" a="1"/>
  <c r="F177" i="7" s="1"/>
  <c r="E177" i="7" a="1"/>
  <c r="E177" i="7" s="1"/>
  <c r="L177" i="7" s="1"/>
  <c r="C177" i="7"/>
  <c r="C177" i="7" a="1"/>
  <c r="B177" i="7" a="1"/>
  <c r="B177" i="7" s="1"/>
  <c r="H176" i="7" a="1"/>
  <c r="H176" i="7" s="1"/>
  <c r="G176" i="7" a="1"/>
  <c r="G176" i="7" s="1"/>
  <c r="F176" i="7" a="1"/>
  <c r="F176" i="7" s="1"/>
  <c r="E176" i="7" a="1"/>
  <c r="E176" i="7" s="1"/>
  <c r="K176" i="7" s="1"/>
  <c r="M176" i="7" s="1" a="1"/>
  <c r="M176" i="7" s="1"/>
  <c r="C176" i="7" a="1"/>
  <c r="C176" i="7" s="1"/>
  <c r="B176" i="7" a="1"/>
  <c r="B176" i="7" s="1"/>
  <c r="H175" i="7" a="1"/>
  <c r="H175" i="7" s="1"/>
  <c r="G175" i="7" a="1"/>
  <c r="G175" i="7" s="1"/>
  <c r="F175" i="7" a="1"/>
  <c r="F175" i="7" s="1"/>
  <c r="E175" i="7" a="1"/>
  <c r="E175" i="7" s="1"/>
  <c r="K175" i="7" s="1"/>
  <c r="C175" i="7" a="1"/>
  <c r="C175" i="7" s="1"/>
  <c r="B175" i="7" a="1"/>
  <c r="B175" i="7" s="1"/>
  <c r="H174" i="7" a="1"/>
  <c r="H174" i="7" s="1"/>
  <c r="G174" i="7" a="1"/>
  <c r="G174" i="7" s="1"/>
  <c r="F174" i="7" a="1"/>
  <c r="F174" i="7" s="1"/>
  <c r="E174" i="7" a="1"/>
  <c r="E174" i="7" s="1"/>
  <c r="K174" i="7" s="1"/>
  <c r="C174" i="7" a="1"/>
  <c r="C174" i="7" s="1"/>
  <c r="B174" i="7" a="1"/>
  <c r="B174" i="7" s="1"/>
  <c r="H173" i="7" a="1"/>
  <c r="H173" i="7" s="1"/>
  <c r="G173" i="7" a="1"/>
  <c r="G173" i="7" s="1"/>
  <c r="F173" i="7" a="1"/>
  <c r="F173" i="7" s="1"/>
  <c r="E173" i="7" a="1"/>
  <c r="E173" i="7" s="1"/>
  <c r="K173" i="7" s="1"/>
  <c r="M173" i="7" s="1" a="1"/>
  <c r="M173" i="7" s="1"/>
  <c r="C173" i="7" a="1"/>
  <c r="C173" i="7" s="1"/>
  <c r="B173" i="7" a="1"/>
  <c r="B173" i="7" s="1"/>
  <c r="H172" i="7" a="1"/>
  <c r="H172" i="7" s="1"/>
  <c r="G172" i="7"/>
  <c r="G172" i="7" a="1"/>
  <c r="F172" i="7" a="1"/>
  <c r="F172" i="7" s="1"/>
  <c r="E172" i="7" a="1"/>
  <c r="E172" i="7" s="1"/>
  <c r="K172" i="7" s="1"/>
  <c r="C172" i="7" a="1"/>
  <c r="C172" i="7" s="1"/>
  <c r="B172" i="7" a="1"/>
  <c r="B172" i="7" s="1"/>
  <c r="H171" i="7" a="1"/>
  <c r="H171" i="7" s="1"/>
  <c r="G171" i="7" a="1"/>
  <c r="G171" i="7" s="1"/>
  <c r="F171" i="7" a="1"/>
  <c r="F171" i="7" s="1"/>
  <c r="E171" i="7" a="1"/>
  <c r="E171" i="7" s="1"/>
  <c r="K171" i="7" s="1"/>
  <c r="M171" i="7" s="1" a="1"/>
  <c r="M171" i="7" s="1"/>
  <c r="C171" i="7" a="1"/>
  <c r="C171" i="7" s="1"/>
  <c r="B171" i="7" a="1"/>
  <c r="B171" i="7" s="1"/>
  <c r="H170" i="7" a="1"/>
  <c r="H170" i="7" s="1"/>
  <c r="G170" i="7" a="1"/>
  <c r="G170" i="7" s="1"/>
  <c r="F170" i="7"/>
  <c r="F170" i="7" a="1"/>
  <c r="E170" i="7" a="1"/>
  <c r="E170" i="7" s="1"/>
  <c r="L170" i="7" s="1"/>
  <c r="C170" i="7"/>
  <c r="C170" i="7" a="1"/>
  <c r="B170" i="7" a="1"/>
  <c r="B170" i="7" s="1"/>
  <c r="H169" i="7" a="1"/>
  <c r="H169" i="7" s="1"/>
  <c r="G169" i="7" a="1"/>
  <c r="G169" i="7" s="1"/>
  <c r="F169" i="7" a="1"/>
  <c r="F169" i="7" s="1"/>
  <c r="E169" i="7" a="1"/>
  <c r="E169" i="7" s="1"/>
  <c r="K169" i="7" s="1"/>
  <c r="M169" i="7" s="1" a="1"/>
  <c r="M169" i="7" s="1"/>
  <c r="L169" i="7"/>
  <c r="C169" i="7" a="1"/>
  <c r="C169" i="7" s="1"/>
  <c r="B169" i="7" a="1"/>
  <c r="B169" i="7" s="1"/>
  <c r="H168" i="7" a="1"/>
  <c r="H168" i="7" s="1"/>
  <c r="G168" i="7"/>
  <c r="G168" i="7" a="1"/>
  <c r="F168" i="7" a="1"/>
  <c r="F168" i="7" s="1"/>
  <c r="E168" i="7" a="1"/>
  <c r="E168" i="7" s="1"/>
  <c r="K168" i="7" s="1"/>
  <c r="C168" i="7" a="1"/>
  <c r="C168" i="7" s="1"/>
  <c r="B168" i="7" a="1"/>
  <c r="B168" i="7" s="1"/>
  <c r="H167" i="7" a="1"/>
  <c r="H167" i="7" s="1"/>
  <c r="G167" i="7" a="1"/>
  <c r="G167" i="7" s="1"/>
  <c r="F167" i="7" a="1"/>
  <c r="F167" i="7" s="1"/>
  <c r="E167" i="7" a="1"/>
  <c r="E167" i="7" s="1"/>
  <c r="K167" i="7" s="1"/>
  <c r="C167" i="7" a="1"/>
  <c r="C167" i="7" s="1"/>
  <c r="B167" i="7" a="1"/>
  <c r="B167" i="7" s="1"/>
  <c r="H166" i="7" a="1"/>
  <c r="H166" i="7" s="1"/>
  <c r="G166" i="7" a="1"/>
  <c r="G166" i="7" s="1"/>
  <c r="F166" i="7" a="1"/>
  <c r="F166" i="7" s="1"/>
  <c r="E166" i="7" a="1"/>
  <c r="E166" i="7" s="1"/>
  <c r="K166" i="7" s="1"/>
  <c r="C166" i="7" a="1"/>
  <c r="C166" i="7" s="1"/>
  <c r="B166" i="7" a="1"/>
  <c r="B166" i="7" s="1"/>
  <c r="H165" i="7" a="1"/>
  <c r="H165" i="7" s="1"/>
  <c r="G165" i="7" a="1"/>
  <c r="G165" i="7" s="1"/>
  <c r="F165" i="7" a="1"/>
  <c r="F165" i="7" s="1"/>
  <c r="E165" i="7" a="1"/>
  <c r="E165" i="7" s="1"/>
  <c r="C165" i="7" a="1"/>
  <c r="C165" i="7" s="1"/>
  <c r="B165" i="7" a="1"/>
  <c r="B165" i="7" s="1"/>
  <c r="H164" i="7" a="1"/>
  <c r="H164" i="7" s="1"/>
  <c r="G164" i="7" a="1"/>
  <c r="G164" i="7" s="1"/>
  <c r="F164" i="7" a="1"/>
  <c r="F164" i="7" s="1"/>
  <c r="E164" i="7" a="1"/>
  <c r="E164" i="7" s="1"/>
  <c r="K164" i="7" s="1"/>
  <c r="C164" i="7" a="1"/>
  <c r="C164" i="7" s="1"/>
  <c r="B164" i="7" a="1"/>
  <c r="B164" i="7" s="1"/>
  <c r="H163" i="7" a="1"/>
  <c r="H163" i="7" s="1"/>
  <c r="G163" i="7" a="1"/>
  <c r="G163" i="7" s="1"/>
  <c r="F163" i="7" a="1"/>
  <c r="F163" i="7" s="1"/>
  <c r="E163" i="7" a="1"/>
  <c r="E163" i="7" s="1"/>
  <c r="K163" i="7" s="1"/>
  <c r="C163" i="7" a="1"/>
  <c r="C163" i="7" s="1"/>
  <c r="B163" i="7" a="1"/>
  <c r="B163" i="7" s="1"/>
  <c r="H162" i="7" a="1"/>
  <c r="H162" i="7" s="1"/>
  <c r="G162" i="7" a="1"/>
  <c r="G162" i="7" s="1"/>
  <c r="F162" i="7"/>
  <c r="F162" i="7" a="1"/>
  <c r="E162" i="7" a="1"/>
  <c r="E162" i="7" s="1"/>
  <c r="K162" i="7" s="1"/>
  <c r="C162" i="7" a="1"/>
  <c r="C162" i="7" s="1"/>
  <c r="B162" i="7" a="1"/>
  <c r="B162" i="7" s="1"/>
  <c r="H161" i="7" a="1"/>
  <c r="H161" i="7" s="1"/>
  <c r="G161" i="7" a="1"/>
  <c r="G161" i="7" s="1"/>
  <c r="N161" i="7" s="1"/>
  <c r="F161" i="7" a="1"/>
  <c r="F161" i="7" s="1"/>
  <c r="O161" i="7" s="1"/>
  <c r="E161" i="7" a="1"/>
  <c r="E161" i="7" s="1"/>
  <c r="K161" i="7" s="1"/>
  <c r="C161" i="7" a="1"/>
  <c r="C161" i="7" s="1"/>
  <c r="B161" i="7" a="1"/>
  <c r="B161" i="7" s="1"/>
  <c r="H160" i="7" a="1"/>
  <c r="H160" i="7" s="1"/>
  <c r="G160" i="7" a="1"/>
  <c r="G160" i="7" s="1"/>
  <c r="F160" i="7" a="1"/>
  <c r="F160" i="7" s="1"/>
  <c r="E160" i="7" a="1"/>
  <c r="E160" i="7" s="1"/>
  <c r="K160" i="7" s="1"/>
  <c r="C160" i="7" a="1"/>
  <c r="C160" i="7" s="1"/>
  <c r="B160" i="7" a="1"/>
  <c r="B160" i="7" s="1"/>
  <c r="H159" i="7" a="1"/>
  <c r="H159" i="7" s="1"/>
  <c r="G159" i="7" a="1"/>
  <c r="G159" i="7" s="1"/>
  <c r="F159" i="7" a="1"/>
  <c r="F159" i="7" s="1"/>
  <c r="E159" i="7" a="1"/>
  <c r="E159" i="7" s="1"/>
  <c r="K159" i="7" s="1"/>
  <c r="C159" i="7" a="1"/>
  <c r="C159" i="7" s="1"/>
  <c r="B159" i="7" a="1"/>
  <c r="B159" i="7" s="1"/>
  <c r="L158" i="7"/>
  <c r="H158" i="7" a="1"/>
  <c r="H158" i="7" s="1"/>
  <c r="G158" i="7" a="1"/>
  <c r="G158" i="7" s="1"/>
  <c r="F158" i="7" a="1"/>
  <c r="F158" i="7" s="1"/>
  <c r="E158" i="7" a="1"/>
  <c r="E158" i="7" s="1"/>
  <c r="K158" i="7" s="1"/>
  <c r="M158" i="7" s="1" a="1"/>
  <c r="M158" i="7" s="1"/>
  <c r="C158" i="7" a="1"/>
  <c r="C158" i="7" s="1"/>
  <c r="B158" i="7" a="1"/>
  <c r="B158" i="7" s="1"/>
  <c r="H157" i="7" a="1"/>
  <c r="H157" i="7" s="1"/>
  <c r="G157" i="7" a="1"/>
  <c r="G157" i="7" s="1"/>
  <c r="F157" i="7" a="1"/>
  <c r="F157" i="7" s="1"/>
  <c r="E157" i="7" a="1"/>
  <c r="E157" i="7" s="1"/>
  <c r="C157" i="7" a="1"/>
  <c r="C157" i="7" s="1"/>
  <c r="B157" i="7" a="1"/>
  <c r="B157" i="7" s="1"/>
  <c r="H156" i="7" a="1"/>
  <c r="H156" i="7" s="1"/>
  <c r="G156" i="7" a="1"/>
  <c r="G156" i="7" s="1"/>
  <c r="N156" i="7" s="1"/>
  <c r="F156" i="7" a="1"/>
  <c r="F156" i="7" s="1"/>
  <c r="E156" i="7"/>
  <c r="K156" i="7" s="1"/>
  <c r="E156" i="7" a="1"/>
  <c r="C156" i="7" a="1"/>
  <c r="C156" i="7" s="1"/>
  <c r="B156" i="7" a="1"/>
  <c r="B156" i="7" s="1"/>
  <c r="H155" i="7" a="1"/>
  <c r="H155" i="7" s="1"/>
  <c r="G155" i="7" a="1"/>
  <c r="G155" i="7" s="1"/>
  <c r="F155" i="7" a="1"/>
  <c r="F155" i="7" s="1"/>
  <c r="E155" i="7" a="1"/>
  <c r="E155" i="7" s="1"/>
  <c r="K155" i="7" s="1"/>
  <c r="C155" i="7" a="1"/>
  <c r="C155" i="7" s="1"/>
  <c r="B155" i="7" a="1"/>
  <c r="B155" i="7" s="1"/>
  <c r="H154" i="7" a="1"/>
  <c r="H154" i="7" s="1"/>
  <c r="G154" i="7"/>
  <c r="G154" i="7" a="1"/>
  <c r="F154" i="7" a="1"/>
  <c r="F154" i="7" s="1"/>
  <c r="E154" i="7"/>
  <c r="K154" i="7" s="1"/>
  <c r="E154" i="7" a="1"/>
  <c r="C154" i="7" a="1"/>
  <c r="C154" i="7" s="1"/>
  <c r="B154" i="7" a="1"/>
  <c r="B154" i="7" s="1"/>
  <c r="H153" i="7" a="1"/>
  <c r="H153" i="7" s="1"/>
  <c r="G153" i="7" a="1"/>
  <c r="G153" i="7" s="1"/>
  <c r="F153" i="7" a="1"/>
  <c r="F153" i="7" s="1"/>
  <c r="E153" i="7" a="1"/>
  <c r="E153" i="7" s="1"/>
  <c r="K153" i="7" s="1"/>
  <c r="M153" i="7" s="1" a="1"/>
  <c r="M153" i="7" s="1"/>
  <c r="C153" i="7" a="1"/>
  <c r="C153" i="7" s="1"/>
  <c r="B153" i="7" a="1"/>
  <c r="B153" i="7" s="1"/>
  <c r="H152" i="7" a="1"/>
  <c r="H152" i="7" s="1"/>
  <c r="G152" i="7" a="1"/>
  <c r="G152" i="7" s="1"/>
  <c r="F152" i="7" a="1"/>
  <c r="F152" i="7" s="1"/>
  <c r="O152" i="7" s="1"/>
  <c r="E152" i="7"/>
  <c r="K152" i="7" s="1"/>
  <c r="E152" i="7" a="1"/>
  <c r="C152" i="7" a="1"/>
  <c r="C152" i="7" s="1"/>
  <c r="B152" i="7" a="1"/>
  <c r="B152" i="7" s="1"/>
  <c r="H151" i="7"/>
  <c r="H151" i="7" a="1"/>
  <c r="G151" i="7" a="1"/>
  <c r="G151" i="7" s="1"/>
  <c r="F151" i="7" a="1"/>
  <c r="F151" i="7" s="1"/>
  <c r="O151" i="7" s="1"/>
  <c r="E151" i="7" a="1"/>
  <c r="E151" i="7" s="1"/>
  <c r="K151" i="7" s="1"/>
  <c r="C151" i="7" a="1"/>
  <c r="C151" i="7" s="1"/>
  <c r="B151" i="7" a="1"/>
  <c r="B151" i="7" s="1"/>
  <c r="H150" i="7" a="1"/>
  <c r="H150" i="7" s="1"/>
  <c r="G150" i="7" a="1"/>
  <c r="G150" i="7" s="1"/>
  <c r="F150" i="7" a="1"/>
  <c r="F150" i="7" s="1"/>
  <c r="E150" i="7" a="1"/>
  <c r="E150" i="7" s="1"/>
  <c r="C150" i="7" a="1"/>
  <c r="C150" i="7" s="1"/>
  <c r="B150" i="7" a="1"/>
  <c r="B150" i="7" s="1"/>
  <c r="H149" i="7" a="1"/>
  <c r="H149" i="7" s="1"/>
  <c r="G149" i="7" a="1"/>
  <c r="G149" i="7" s="1"/>
  <c r="F149" i="7" a="1"/>
  <c r="F149" i="7" s="1"/>
  <c r="E149" i="7" a="1"/>
  <c r="E149" i="7" s="1"/>
  <c r="K149" i="7" s="1"/>
  <c r="C149" i="7" a="1"/>
  <c r="C149" i="7" s="1"/>
  <c r="B149" i="7" a="1"/>
  <c r="B149" i="7" s="1"/>
  <c r="H148" i="7" a="1"/>
  <c r="H148" i="7" s="1"/>
  <c r="G148" i="7" a="1"/>
  <c r="G148" i="7" s="1"/>
  <c r="F148" i="7" a="1"/>
  <c r="F148" i="7" s="1"/>
  <c r="E148" i="7" a="1"/>
  <c r="E148" i="7" s="1"/>
  <c r="K148" i="7" s="1"/>
  <c r="C148" i="7" a="1"/>
  <c r="C148" i="7" s="1"/>
  <c r="B148" i="7" a="1"/>
  <c r="B148" i="7" s="1"/>
  <c r="H147" i="7" a="1"/>
  <c r="H147" i="7" s="1"/>
  <c r="G147" i="7" a="1"/>
  <c r="G147" i="7" s="1"/>
  <c r="F147" i="7" a="1"/>
  <c r="F147" i="7" s="1"/>
  <c r="E147" i="7" a="1"/>
  <c r="E147" i="7" s="1"/>
  <c r="L147" i="7" s="1"/>
  <c r="C147" i="7" a="1"/>
  <c r="C147" i="7" s="1"/>
  <c r="B147" i="7" a="1"/>
  <c r="B147" i="7" s="1"/>
  <c r="H146" i="7" a="1"/>
  <c r="H146" i="7" s="1"/>
  <c r="G146" i="7" a="1"/>
  <c r="G146" i="7" s="1"/>
  <c r="F146" i="7" a="1"/>
  <c r="F146" i="7" s="1"/>
  <c r="E146" i="7" a="1"/>
  <c r="E146" i="7" s="1"/>
  <c r="K146" i="7" s="1"/>
  <c r="C146" i="7" a="1"/>
  <c r="C146" i="7" s="1"/>
  <c r="B146" i="7" a="1"/>
  <c r="B146" i="7" s="1"/>
  <c r="H145" i="7" a="1"/>
  <c r="H145" i="7" s="1"/>
  <c r="G145" i="7" a="1"/>
  <c r="G145" i="7" s="1"/>
  <c r="F145" i="7" a="1"/>
  <c r="F145" i="7" s="1"/>
  <c r="E145" i="7"/>
  <c r="K145" i="7" s="1"/>
  <c r="E145" i="7" a="1"/>
  <c r="C145" i="7" a="1"/>
  <c r="C145" i="7" s="1"/>
  <c r="B145" i="7" a="1"/>
  <c r="B145" i="7" s="1"/>
  <c r="H144" i="7"/>
  <c r="H144" i="7" a="1"/>
  <c r="G144" i="7" a="1"/>
  <c r="G144" i="7" s="1"/>
  <c r="F144" i="7" a="1"/>
  <c r="F144" i="7" s="1"/>
  <c r="E144" i="7" a="1"/>
  <c r="E144" i="7" s="1"/>
  <c r="K144" i="7" s="1"/>
  <c r="C144" i="7" a="1"/>
  <c r="C144" i="7" s="1"/>
  <c r="B144" i="7" a="1"/>
  <c r="B144" i="7" s="1"/>
  <c r="H143" i="7"/>
  <c r="H143" i="7" a="1"/>
  <c r="G143" i="7" a="1"/>
  <c r="G143" i="7" s="1"/>
  <c r="F143" i="7" a="1"/>
  <c r="F143" i="7" s="1"/>
  <c r="E143" i="7" a="1"/>
  <c r="E143" i="7" s="1"/>
  <c r="K143" i="7" s="1"/>
  <c r="C143" i="7" a="1"/>
  <c r="C143" i="7" s="1"/>
  <c r="B143" i="7" a="1"/>
  <c r="B143" i="7" s="1"/>
  <c r="H142" i="7" a="1"/>
  <c r="H142" i="7" s="1"/>
  <c r="G142" i="7" a="1"/>
  <c r="G142" i="7" s="1"/>
  <c r="F142" i="7" a="1"/>
  <c r="F142" i="7" s="1"/>
  <c r="E142" i="7" a="1"/>
  <c r="E142" i="7" s="1"/>
  <c r="C142" i="7" a="1"/>
  <c r="C142" i="7" s="1"/>
  <c r="B142" i="7" a="1"/>
  <c r="B142" i="7" s="1"/>
  <c r="H141" i="7" a="1"/>
  <c r="H141" i="7" s="1"/>
  <c r="G141" i="7"/>
  <c r="G141" i="7" a="1"/>
  <c r="F141" i="7" a="1"/>
  <c r="F141" i="7" s="1"/>
  <c r="E141" i="7" a="1"/>
  <c r="E141" i="7" s="1"/>
  <c r="C141" i="7" a="1"/>
  <c r="C141" i="7" s="1"/>
  <c r="B141" i="7" a="1"/>
  <c r="B141" i="7" s="1"/>
  <c r="H140" i="7" a="1"/>
  <c r="H140" i="7" s="1"/>
  <c r="G140" i="7" a="1"/>
  <c r="G140" i="7" s="1"/>
  <c r="F140" i="7" a="1"/>
  <c r="F140" i="7" s="1"/>
  <c r="E140" i="7" a="1"/>
  <c r="E140" i="7" s="1"/>
  <c r="K140" i="7" s="1"/>
  <c r="C140" i="7" a="1"/>
  <c r="C140" i="7" s="1"/>
  <c r="B140" i="7" a="1"/>
  <c r="B140" i="7" s="1"/>
  <c r="H139" i="7" a="1"/>
  <c r="H139" i="7" s="1"/>
  <c r="G139" i="7" a="1"/>
  <c r="G139" i="7" s="1"/>
  <c r="F139" i="7" a="1"/>
  <c r="F139" i="7" s="1"/>
  <c r="E139" i="7" a="1"/>
  <c r="E139" i="7" s="1"/>
  <c r="L139" i="7" s="1"/>
  <c r="C139" i="7" a="1"/>
  <c r="C139" i="7" s="1"/>
  <c r="B139" i="7" a="1"/>
  <c r="B139" i="7" s="1"/>
  <c r="H138" i="7" a="1"/>
  <c r="H138" i="7" s="1"/>
  <c r="G138" i="7" a="1"/>
  <c r="G138" i="7" s="1"/>
  <c r="F138" i="7" a="1"/>
  <c r="F138" i="7" s="1"/>
  <c r="E138" i="7" a="1"/>
  <c r="E138" i="7" s="1"/>
  <c r="C138" i="7" a="1"/>
  <c r="C138" i="7" s="1"/>
  <c r="B138" i="7" a="1"/>
  <c r="B138" i="7" s="1"/>
  <c r="H137" i="7" a="1"/>
  <c r="H137" i="7" s="1"/>
  <c r="G137" i="7" a="1"/>
  <c r="G137" i="7" s="1"/>
  <c r="F137" i="7" a="1"/>
  <c r="F137" i="7" s="1"/>
  <c r="E137" i="7" a="1"/>
  <c r="E137" i="7" s="1"/>
  <c r="K137" i="7" s="1"/>
  <c r="C137" i="7" a="1"/>
  <c r="C137" i="7" s="1"/>
  <c r="B137" i="7" a="1"/>
  <c r="B137" i="7" s="1"/>
  <c r="H136" i="7" a="1"/>
  <c r="H136" i="7" s="1"/>
  <c r="G136" i="7" a="1"/>
  <c r="G136" i="7" s="1"/>
  <c r="F136" i="7" a="1"/>
  <c r="F136" i="7" s="1"/>
  <c r="E136" i="7" a="1"/>
  <c r="E136" i="7" s="1"/>
  <c r="K136" i="7" s="1"/>
  <c r="C136" i="7" a="1"/>
  <c r="C136" i="7" s="1"/>
  <c r="B136" i="7" a="1"/>
  <c r="B136" i="7" s="1"/>
  <c r="H135" i="7" a="1"/>
  <c r="H135" i="7" s="1"/>
  <c r="G135" i="7" a="1"/>
  <c r="G135" i="7" s="1"/>
  <c r="F135" i="7" a="1"/>
  <c r="F135" i="7" s="1"/>
  <c r="E135" i="7" a="1"/>
  <c r="E135" i="7" s="1"/>
  <c r="K135" i="7" s="1"/>
  <c r="C135" i="7" a="1"/>
  <c r="C135" i="7" s="1"/>
  <c r="B135" i="7" a="1"/>
  <c r="B135" i="7" s="1"/>
  <c r="H134" i="7" a="1"/>
  <c r="H134" i="7" s="1"/>
  <c r="G134" i="7" a="1"/>
  <c r="G134" i="7" s="1"/>
  <c r="N134" i="7" s="1"/>
  <c r="F134" i="7"/>
  <c r="F134" i="7" a="1"/>
  <c r="E134" i="7" a="1"/>
  <c r="E134" i="7" s="1"/>
  <c r="C134" i="7"/>
  <c r="C134" i="7" a="1"/>
  <c r="B134" i="7" a="1"/>
  <c r="B134" i="7" s="1"/>
  <c r="H133" i="7" a="1"/>
  <c r="H133" i="7" s="1"/>
  <c r="G133" i="7" a="1"/>
  <c r="G133" i="7" s="1"/>
  <c r="F133" i="7" a="1"/>
  <c r="F133" i="7" s="1"/>
  <c r="E133" i="7" a="1"/>
  <c r="E133" i="7" s="1"/>
  <c r="C133" i="7" a="1"/>
  <c r="C133" i="7" s="1"/>
  <c r="B133" i="7" a="1"/>
  <c r="B133" i="7" s="1"/>
  <c r="H132" i="7" a="1"/>
  <c r="H132" i="7" s="1"/>
  <c r="G132" i="7" a="1"/>
  <c r="G132" i="7" s="1"/>
  <c r="F132" i="7" a="1"/>
  <c r="F132" i="7" s="1"/>
  <c r="E132" i="7" a="1"/>
  <c r="E132" i="7" s="1"/>
  <c r="K132" i="7" s="1"/>
  <c r="M132" i="7" s="1" a="1"/>
  <c r="M132" i="7" s="1"/>
  <c r="C132" i="7" a="1"/>
  <c r="C132" i="7" s="1"/>
  <c r="B132" i="7" a="1"/>
  <c r="B132" i="7" s="1"/>
  <c r="H131" i="7" a="1"/>
  <c r="H131" i="7" s="1"/>
  <c r="G131" i="7" a="1"/>
  <c r="G131" i="7" s="1"/>
  <c r="F131" i="7" a="1"/>
  <c r="F131" i="7" s="1"/>
  <c r="E131" i="7" a="1"/>
  <c r="E131" i="7" s="1"/>
  <c r="K131" i="7" s="1"/>
  <c r="C131" i="7" a="1"/>
  <c r="C131" i="7" s="1"/>
  <c r="B131" i="7" a="1"/>
  <c r="B131" i="7" s="1"/>
  <c r="H130" i="7" a="1"/>
  <c r="H130" i="7" s="1"/>
  <c r="G130" i="7" a="1"/>
  <c r="G130" i="7" s="1"/>
  <c r="F130" i="7" a="1"/>
  <c r="F130" i="7" s="1"/>
  <c r="E130" i="7" a="1"/>
  <c r="E130" i="7" s="1"/>
  <c r="K130" i="7" s="1"/>
  <c r="C130" i="7" a="1"/>
  <c r="C130" i="7" s="1"/>
  <c r="B130" i="7" a="1"/>
  <c r="B130" i="7" s="1"/>
  <c r="H129" i="7" a="1"/>
  <c r="H129" i="7" s="1"/>
  <c r="G129" i="7" a="1"/>
  <c r="G129" i="7" s="1"/>
  <c r="F129" i="7" a="1"/>
  <c r="F129" i="7" s="1"/>
  <c r="E129" i="7"/>
  <c r="E129" i="7" a="1"/>
  <c r="C129" i="7" a="1"/>
  <c r="C129" i="7" s="1"/>
  <c r="B129" i="7" a="1"/>
  <c r="B129" i="7" s="1"/>
  <c r="H128" i="7" a="1"/>
  <c r="H128" i="7" s="1"/>
  <c r="G128" i="7" a="1"/>
  <c r="G128" i="7" s="1"/>
  <c r="F128" i="7" a="1"/>
  <c r="F128" i="7" s="1"/>
  <c r="E128" i="7" a="1"/>
  <c r="E128" i="7" s="1"/>
  <c r="K128" i="7" s="1"/>
  <c r="C128" i="7" a="1"/>
  <c r="C128" i="7" s="1"/>
  <c r="B128" i="7" a="1"/>
  <c r="B128" i="7" s="1"/>
  <c r="H127" i="7" a="1"/>
  <c r="H127" i="7" s="1"/>
  <c r="G127" i="7" a="1"/>
  <c r="G127" i="7" s="1"/>
  <c r="F127" i="7"/>
  <c r="F127" i="7" a="1"/>
  <c r="E127" i="7" a="1"/>
  <c r="E127" i="7" s="1"/>
  <c r="K127" i="7" s="1"/>
  <c r="C127" i="7" a="1"/>
  <c r="C127" i="7" s="1"/>
  <c r="B127" i="7" a="1"/>
  <c r="B127" i="7" s="1"/>
  <c r="H126" i="7" a="1"/>
  <c r="H126" i="7" s="1"/>
  <c r="G126" i="7" a="1"/>
  <c r="G126" i="7" s="1"/>
  <c r="F126" i="7" a="1"/>
  <c r="F126" i="7" s="1"/>
  <c r="E126" i="7" a="1"/>
  <c r="E126" i="7" s="1"/>
  <c r="C126" i="7" a="1"/>
  <c r="C126" i="7" s="1"/>
  <c r="B126" i="7"/>
  <c r="B126" i="7" a="1"/>
  <c r="H125" i="7" a="1"/>
  <c r="H125" i="7" s="1"/>
  <c r="G125" i="7" a="1"/>
  <c r="G125" i="7" s="1"/>
  <c r="F125" i="7" a="1"/>
  <c r="F125" i="7" s="1"/>
  <c r="E125" i="7" a="1"/>
  <c r="E125" i="7" s="1"/>
  <c r="K125" i="7" s="1"/>
  <c r="M125" i="7" s="1" a="1"/>
  <c r="M125" i="7" s="1"/>
  <c r="C125" i="7" a="1"/>
  <c r="C125" i="7" s="1"/>
  <c r="B125" i="7" a="1"/>
  <c r="B125" i="7" s="1"/>
  <c r="H124" i="7" a="1"/>
  <c r="H124" i="7" s="1"/>
  <c r="G124" i="7" a="1"/>
  <c r="G124" i="7" s="1"/>
  <c r="F124" i="7" a="1"/>
  <c r="F124" i="7" s="1"/>
  <c r="O124" i="7" s="1"/>
  <c r="E124" i="7" a="1"/>
  <c r="E124" i="7" s="1"/>
  <c r="K124" i="7" s="1"/>
  <c r="C124" i="7" a="1"/>
  <c r="C124" i="7" s="1"/>
  <c r="B124" i="7"/>
  <c r="B124" i="7" a="1"/>
  <c r="H123" i="7" a="1"/>
  <c r="H123" i="7" s="1"/>
  <c r="G123" i="7" a="1"/>
  <c r="G123" i="7" s="1"/>
  <c r="F123" i="7" a="1"/>
  <c r="F123" i="7" s="1"/>
  <c r="E123" i="7" a="1"/>
  <c r="E123" i="7" s="1"/>
  <c r="K123" i="7" s="1"/>
  <c r="C123" i="7" a="1"/>
  <c r="C123" i="7" s="1"/>
  <c r="B123" i="7" a="1"/>
  <c r="B123" i="7" s="1"/>
  <c r="H122" i="7" a="1"/>
  <c r="H122" i="7" s="1"/>
  <c r="G122" i="7" a="1"/>
  <c r="G122" i="7" s="1"/>
  <c r="F122" i="7" a="1"/>
  <c r="F122" i="7" s="1"/>
  <c r="E122" i="7" a="1"/>
  <c r="E122" i="7" s="1"/>
  <c r="K122" i="7" s="1"/>
  <c r="C122" i="7" a="1"/>
  <c r="C122" i="7" s="1"/>
  <c r="B122" i="7" a="1"/>
  <c r="B122" i="7" s="1"/>
  <c r="H121" i="7" a="1"/>
  <c r="H121" i="7" s="1"/>
  <c r="G121" i="7"/>
  <c r="G121" i="7" a="1"/>
  <c r="F121" i="7" a="1"/>
  <c r="F121" i="7" s="1"/>
  <c r="E121" i="7" a="1"/>
  <c r="E121" i="7" s="1"/>
  <c r="K121" i="7" s="1"/>
  <c r="M121" i="7" s="1" a="1"/>
  <c r="M121" i="7" s="1"/>
  <c r="C121" i="7" a="1"/>
  <c r="C121" i="7" s="1"/>
  <c r="B121" i="7" a="1"/>
  <c r="B121" i="7" s="1"/>
  <c r="H120" i="7" a="1"/>
  <c r="H120" i="7" s="1"/>
  <c r="G120" i="7" a="1"/>
  <c r="G120" i="7" s="1"/>
  <c r="F120" i="7" a="1"/>
  <c r="F120" i="7" s="1"/>
  <c r="E120" i="7" a="1"/>
  <c r="E120" i="7" s="1"/>
  <c r="K120" i="7" s="1"/>
  <c r="C120" i="7" a="1"/>
  <c r="C120" i="7" s="1"/>
  <c r="B120" i="7" a="1"/>
  <c r="B120" i="7" s="1"/>
  <c r="H119" i="7" a="1"/>
  <c r="H119" i="7" s="1"/>
  <c r="G119" i="7" a="1"/>
  <c r="G119" i="7" s="1"/>
  <c r="F119" i="7"/>
  <c r="F119" i="7" a="1"/>
  <c r="E119" i="7" a="1"/>
  <c r="E119" i="7" s="1"/>
  <c r="K119" i="7" s="1"/>
  <c r="C119" i="7" a="1"/>
  <c r="C119" i="7" s="1"/>
  <c r="B119" i="7" a="1"/>
  <c r="B119" i="7" s="1"/>
  <c r="H118" i="7" a="1"/>
  <c r="H118" i="7" s="1"/>
  <c r="G118" i="7" a="1"/>
  <c r="G118" i="7" s="1"/>
  <c r="F118" i="7" a="1"/>
  <c r="F118" i="7" s="1"/>
  <c r="E118" i="7" a="1"/>
  <c r="E118" i="7" s="1"/>
  <c r="C118" i="7" a="1"/>
  <c r="C118" i="7" s="1"/>
  <c r="B118" i="7" a="1"/>
  <c r="B118" i="7" s="1"/>
  <c r="H117" i="7" a="1"/>
  <c r="H117" i="7" s="1"/>
  <c r="G117" i="7" a="1"/>
  <c r="G117" i="7" s="1"/>
  <c r="F117" i="7" a="1"/>
  <c r="F117" i="7" s="1"/>
  <c r="E117" i="7" a="1"/>
  <c r="E117" i="7" s="1"/>
  <c r="K117" i="7" s="1"/>
  <c r="M117" i="7" s="1" a="1"/>
  <c r="M117" i="7" s="1"/>
  <c r="C117" i="7" a="1"/>
  <c r="C117" i="7" s="1"/>
  <c r="B117" i="7" a="1"/>
  <c r="B117" i="7" s="1"/>
  <c r="H116" i="7" a="1"/>
  <c r="H116" i="7" s="1"/>
  <c r="G116" i="7" a="1"/>
  <c r="G116" i="7" s="1"/>
  <c r="F116" i="7" a="1"/>
  <c r="F116" i="7" s="1"/>
  <c r="E116" i="7"/>
  <c r="K116" i="7" s="1"/>
  <c r="E116" i="7" a="1"/>
  <c r="C116" i="7" a="1"/>
  <c r="C116" i="7" s="1"/>
  <c r="B116" i="7" a="1"/>
  <c r="B116" i="7" s="1"/>
  <c r="H115" i="7" a="1"/>
  <c r="H115" i="7" s="1"/>
  <c r="G115" i="7" a="1"/>
  <c r="G115" i="7" s="1"/>
  <c r="F115" i="7" a="1"/>
  <c r="F115" i="7" s="1"/>
  <c r="E115" i="7" a="1"/>
  <c r="E115" i="7" s="1"/>
  <c r="K115" i="7" s="1"/>
  <c r="C115" i="7" a="1"/>
  <c r="C115" i="7" s="1"/>
  <c r="B115" i="7" a="1"/>
  <c r="B115" i="7" s="1"/>
  <c r="H114" i="7" a="1"/>
  <c r="H114" i="7" s="1"/>
  <c r="G114" i="7" a="1"/>
  <c r="G114" i="7" s="1"/>
  <c r="F114" i="7" a="1"/>
  <c r="F114" i="7" s="1"/>
  <c r="E114" i="7" a="1"/>
  <c r="E114" i="7" s="1"/>
  <c r="K114" i="7" s="1"/>
  <c r="C114" i="7" a="1"/>
  <c r="C114" i="7" s="1"/>
  <c r="B114" i="7" a="1"/>
  <c r="B114" i="7" s="1"/>
  <c r="H113" i="7" a="1"/>
  <c r="H113" i="7" s="1"/>
  <c r="G113" i="7" a="1"/>
  <c r="G113" i="7" s="1"/>
  <c r="F113" i="7" a="1"/>
  <c r="F113" i="7" s="1"/>
  <c r="E113" i="7" a="1"/>
  <c r="E113" i="7" s="1"/>
  <c r="K113" i="7" s="1"/>
  <c r="M113" i="7" s="1" a="1"/>
  <c r="M113" i="7" s="1"/>
  <c r="C113" i="7" a="1"/>
  <c r="C113" i="7" s="1"/>
  <c r="B113" i="7" a="1"/>
  <c r="B113" i="7" s="1"/>
  <c r="H112" i="7" a="1"/>
  <c r="H112" i="7" s="1"/>
  <c r="G112" i="7"/>
  <c r="G112" i="7" a="1"/>
  <c r="F112" i="7" a="1"/>
  <c r="F112" i="7" s="1"/>
  <c r="E112" i="7" a="1"/>
  <c r="E112" i="7" s="1"/>
  <c r="K112" i="7" s="1"/>
  <c r="C112" i="7" a="1"/>
  <c r="C112" i="7" s="1"/>
  <c r="B112" i="7" a="1"/>
  <c r="B112" i="7" s="1"/>
  <c r="H111" i="7" a="1"/>
  <c r="H111" i="7" s="1"/>
  <c r="G111" i="7" a="1"/>
  <c r="G111" i="7" s="1"/>
  <c r="F111" i="7" a="1"/>
  <c r="F111" i="7" s="1"/>
  <c r="E111" i="7" a="1"/>
  <c r="E111" i="7" s="1"/>
  <c r="K111" i="7" s="1"/>
  <c r="C111" i="7" a="1"/>
  <c r="C111" i="7" s="1"/>
  <c r="B111" i="7" a="1"/>
  <c r="B111" i="7" s="1"/>
  <c r="H110" i="7" a="1"/>
  <c r="H110" i="7" s="1"/>
  <c r="G110" i="7" a="1"/>
  <c r="G110" i="7" s="1"/>
  <c r="F110" i="7" a="1"/>
  <c r="F110" i="7" s="1"/>
  <c r="E110" i="7"/>
  <c r="E110" i="7" a="1"/>
  <c r="C110" i="7" a="1"/>
  <c r="C110" i="7" s="1"/>
  <c r="B110" i="7" a="1"/>
  <c r="B110" i="7" s="1"/>
  <c r="H109" i="7" a="1"/>
  <c r="H109" i="7" s="1"/>
  <c r="G109" i="7" a="1"/>
  <c r="G109" i="7" s="1"/>
  <c r="F109" i="7" a="1"/>
  <c r="F109" i="7" s="1"/>
  <c r="E109" i="7" a="1"/>
  <c r="E109" i="7" s="1"/>
  <c r="K109" i="7" s="1"/>
  <c r="M109" i="7" s="1" a="1"/>
  <c r="M109" i="7" s="1"/>
  <c r="C109" i="7" a="1"/>
  <c r="C109" i="7" s="1"/>
  <c r="B109" i="7" a="1"/>
  <c r="B109" i="7" s="1"/>
  <c r="H108" i="7" a="1"/>
  <c r="H108" i="7" s="1"/>
  <c r="G108" i="7" a="1"/>
  <c r="G108" i="7" s="1"/>
  <c r="F108" i="7" a="1"/>
  <c r="F108" i="7" s="1"/>
  <c r="E108" i="7"/>
  <c r="K108" i="7" s="1"/>
  <c r="E108" i="7" a="1"/>
  <c r="C108" i="7" a="1"/>
  <c r="C108" i="7" s="1"/>
  <c r="B108" i="7" a="1"/>
  <c r="B108" i="7" s="1"/>
  <c r="H107" i="7" a="1"/>
  <c r="H107" i="7" s="1"/>
  <c r="G107" i="7" a="1"/>
  <c r="G107" i="7" s="1"/>
  <c r="F107" i="7" a="1"/>
  <c r="F107" i="7" s="1"/>
  <c r="E107" i="7" a="1"/>
  <c r="E107" i="7" s="1"/>
  <c r="K107" i="7" s="1"/>
  <c r="C107" i="7" a="1"/>
  <c r="C107" i="7" s="1"/>
  <c r="B107" i="7" a="1"/>
  <c r="B107" i="7" s="1"/>
  <c r="H106" i="7" a="1"/>
  <c r="H106" i="7" s="1"/>
  <c r="G106" i="7" a="1"/>
  <c r="G106" i="7" s="1"/>
  <c r="F106" i="7"/>
  <c r="F106" i="7" a="1"/>
  <c r="E106" i="7" a="1"/>
  <c r="E106" i="7" s="1"/>
  <c r="K106" i="7" s="1"/>
  <c r="C106" i="7" a="1"/>
  <c r="C106" i="7" s="1"/>
  <c r="B106" i="7"/>
  <c r="B106" i="7" a="1"/>
  <c r="H105" i="7" a="1"/>
  <c r="H105" i="7" s="1"/>
  <c r="G105" i="7" a="1"/>
  <c r="G105" i="7" s="1"/>
  <c r="N105" i="7" s="1"/>
  <c r="F105" i="7" a="1"/>
  <c r="F105" i="7" s="1"/>
  <c r="E105" i="7" a="1"/>
  <c r="E105" i="7" s="1"/>
  <c r="C105" i="7" a="1"/>
  <c r="C105" i="7" s="1"/>
  <c r="B105" i="7" a="1"/>
  <c r="B105" i="7" s="1"/>
  <c r="H104" i="7" a="1"/>
  <c r="H104" i="7" s="1"/>
  <c r="G104" i="7" a="1"/>
  <c r="G104" i="7" s="1"/>
  <c r="F104" i="7" a="1"/>
  <c r="F104" i="7" s="1"/>
  <c r="E104" i="7" a="1"/>
  <c r="E104" i="7" s="1"/>
  <c r="K104" i="7" s="1"/>
  <c r="C104" i="7" a="1"/>
  <c r="C104" i="7" s="1"/>
  <c r="B104" i="7" a="1"/>
  <c r="B104" i="7" s="1"/>
  <c r="H103" i="7" a="1"/>
  <c r="H103" i="7" s="1"/>
  <c r="G103" i="7" a="1"/>
  <c r="G103" i="7" s="1"/>
  <c r="F103" i="7" a="1"/>
  <c r="F103" i="7" s="1"/>
  <c r="E103" i="7" a="1"/>
  <c r="E103" i="7" s="1"/>
  <c r="K103" i="7" s="1"/>
  <c r="M103" i="7" s="1" a="1"/>
  <c r="M103" i="7" s="1"/>
  <c r="C103" i="7" a="1"/>
  <c r="C103" i="7" s="1"/>
  <c r="B103" i="7" a="1"/>
  <c r="B103" i="7" s="1"/>
  <c r="H102" i="7" a="1"/>
  <c r="H102" i="7" s="1"/>
  <c r="G102" i="7" a="1"/>
  <c r="G102" i="7" s="1"/>
  <c r="N102" i="7" s="1"/>
  <c r="F102" i="7" a="1"/>
  <c r="F102" i="7" s="1"/>
  <c r="E102" i="7" a="1"/>
  <c r="E102" i="7" s="1"/>
  <c r="C102" i="7" a="1"/>
  <c r="C102" i="7" s="1"/>
  <c r="B102" i="7" a="1"/>
  <c r="B102" i="7" s="1"/>
  <c r="H101" i="7" a="1"/>
  <c r="H101" i="7" s="1"/>
  <c r="G101" i="7" a="1"/>
  <c r="G101" i="7" s="1"/>
  <c r="F101" i="7" a="1"/>
  <c r="F101" i="7" s="1"/>
  <c r="E101" i="7" a="1"/>
  <c r="E101" i="7" s="1"/>
  <c r="K101" i="7" s="1"/>
  <c r="M101" i="7" s="1" a="1"/>
  <c r="M101" i="7" s="1"/>
  <c r="C101" i="7" a="1"/>
  <c r="C101" i="7" s="1"/>
  <c r="B101" i="7" a="1"/>
  <c r="B101" i="7" s="1"/>
  <c r="H100" i="7" a="1"/>
  <c r="H100" i="7" s="1"/>
  <c r="G100" i="7" a="1"/>
  <c r="G100" i="7" s="1"/>
  <c r="F100" i="7" a="1"/>
  <c r="F100" i="7" s="1"/>
  <c r="E100" i="7" a="1"/>
  <c r="E100" i="7" s="1"/>
  <c r="K100" i="7" s="1"/>
  <c r="C100" i="7" a="1"/>
  <c r="C100" i="7" s="1"/>
  <c r="B100" i="7" a="1"/>
  <c r="B100" i="7" s="1"/>
  <c r="H99" i="7" a="1"/>
  <c r="H99" i="7" s="1"/>
  <c r="G99" i="7" a="1"/>
  <c r="G99" i="7" s="1"/>
  <c r="F99" i="7" a="1"/>
  <c r="F99" i="7" s="1"/>
  <c r="E99" i="7" a="1"/>
  <c r="E99" i="7" s="1"/>
  <c r="K99" i="7" s="1"/>
  <c r="C99" i="7" a="1"/>
  <c r="C99" i="7" s="1"/>
  <c r="B99" i="7" a="1"/>
  <c r="B99" i="7" s="1"/>
  <c r="H98" i="7" a="1"/>
  <c r="H98" i="7" s="1"/>
  <c r="G98" i="7" a="1"/>
  <c r="G98" i="7" s="1"/>
  <c r="F98" i="7" a="1"/>
  <c r="F98" i="7" s="1"/>
  <c r="E98" i="7" a="1"/>
  <c r="E98" i="7" s="1"/>
  <c r="K98" i="7" s="1"/>
  <c r="C98" i="7" a="1"/>
  <c r="C98" i="7" s="1"/>
  <c r="B98" i="7" a="1"/>
  <c r="B98" i="7" s="1"/>
  <c r="H97" i="7" a="1"/>
  <c r="H97" i="7" s="1"/>
  <c r="G97" i="7" a="1"/>
  <c r="G97" i="7" s="1"/>
  <c r="N97" i="7" s="1"/>
  <c r="F97" i="7" a="1"/>
  <c r="F97" i="7" s="1"/>
  <c r="E97" i="7" a="1"/>
  <c r="E97" i="7" s="1"/>
  <c r="C97" i="7" a="1"/>
  <c r="C97" i="7" s="1"/>
  <c r="B97" i="7" a="1"/>
  <c r="B97" i="7" s="1"/>
  <c r="H96" i="7" a="1"/>
  <c r="H96" i="7" s="1"/>
  <c r="G96" i="7" a="1"/>
  <c r="G96" i="7" s="1"/>
  <c r="F96" i="7" a="1"/>
  <c r="F96" i="7" s="1"/>
  <c r="E96" i="7" a="1"/>
  <c r="E96" i="7" s="1"/>
  <c r="K96" i="7" s="1"/>
  <c r="C96" i="7" a="1"/>
  <c r="C96" i="7" s="1"/>
  <c r="B96" i="7" a="1"/>
  <c r="B96" i="7" s="1"/>
  <c r="H95" i="7" a="1"/>
  <c r="H95" i="7" s="1"/>
  <c r="G95" i="7" a="1"/>
  <c r="G95" i="7" s="1"/>
  <c r="F95" i="7" a="1"/>
  <c r="F95" i="7" s="1"/>
  <c r="E95" i="7" a="1"/>
  <c r="E95" i="7" s="1"/>
  <c r="K95" i="7" s="1"/>
  <c r="C95" i="7" a="1"/>
  <c r="C95" i="7" s="1"/>
  <c r="B95" i="7" a="1"/>
  <c r="B95" i="7" s="1"/>
  <c r="H94" i="7" a="1"/>
  <c r="H94" i="7" s="1"/>
  <c r="G94" i="7" a="1"/>
  <c r="G94" i="7" s="1"/>
  <c r="F94" i="7" a="1"/>
  <c r="F94" i="7" s="1"/>
  <c r="E94" i="7" a="1"/>
  <c r="E94" i="7" s="1"/>
  <c r="C94" i="7" a="1"/>
  <c r="C94" i="7" s="1"/>
  <c r="B94" i="7" a="1"/>
  <c r="B94" i="7" s="1"/>
  <c r="H93" i="7" a="1"/>
  <c r="H93" i="7" s="1"/>
  <c r="G93" i="7" a="1"/>
  <c r="G93" i="7" s="1"/>
  <c r="F93" i="7" a="1"/>
  <c r="F93" i="7" s="1"/>
  <c r="E93" i="7" a="1"/>
  <c r="E93" i="7" s="1"/>
  <c r="K93" i="7" s="1"/>
  <c r="M93" i="7" s="1" a="1"/>
  <c r="M93" i="7" s="1"/>
  <c r="C93" i="7" a="1"/>
  <c r="C93" i="7" s="1"/>
  <c r="B93" i="7" a="1"/>
  <c r="B93" i="7" s="1"/>
  <c r="H92" i="7"/>
  <c r="H92" i="7" a="1"/>
  <c r="G92" i="7" a="1"/>
  <c r="G92" i="7" s="1"/>
  <c r="F92" i="7" a="1"/>
  <c r="F92" i="7" s="1"/>
  <c r="E92" i="7" a="1"/>
  <c r="E92" i="7" s="1"/>
  <c r="K92" i="7" s="1"/>
  <c r="C92" i="7" a="1"/>
  <c r="C92" i="7" s="1"/>
  <c r="B92" i="7" a="1"/>
  <c r="B92" i="7" s="1"/>
  <c r="H91" i="7" a="1"/>
  <c r="H91" i="7" s="1"/>
  <c r="G91" i="7" a="1"/>
  <c r="G91" i="7" s="1"/>
  <c r="F91" i="7" a="1"/>
  <c r="F91" i="7" s="1"/>
  <c r="E91" i="7" a="1"/>
  <c r="E91" i="7" s="1"/>
  <c r="K91" i="7" s="1"/>
  <c r="C91" i="7" a="1"/>
  <c r="C91" i="7" s="1"/>
  <c r="B91" i="7"/>
  <c r="B91" i="7" a="1"/>
  <c r="H90" i="7" a="1"/>
  <c r="H90" i="7" s="1"/>
  <c r="G90" i="7" a="1"/>
  <c r="G90" i="7" s="1"/>
  <c r="F90" i="7"/>
  <c r="F90" i="7" a="1"/>
  <c r="E90" i="7" a="1"/>
  <c r="E90" i="7" s="1"/>
  <c r="K90" i="7" s="1"/>
  <c r="C90" i="7" a="1"/>
  <c r="C90" i="7" s="1"/>
  <c r="B90" i="7"/>
  <c r="B90" i="7" a="1"/>
  <c r="H89" i="7" a="1"/>
  <c r="H89" i="7" s="1"/>
  <c r="G89" i="7" a="1"/>
  <c r="G89" i="7" s="1"/>
  <c r="F89" i="7" a="1"/>
  <c r="F89" i="7" s="1"/>
  <c r="E89" i="7" a="1"/>
  <c r="E89" i="7" s="1"/>
  <c r="K89" i="7" s="1"/>
  <c r="M89" i="7" s="1" a="1"/>
  <c r="M89" i="7" s="1"/>
  <c r="C89" i="7" a="1"/>
  <c r="C89" i="7" s="1"/>
  <c r="B89" i="7" a="1"/>
  <c r="B89" i="7" s="1"/>
  <c r="H88" i="7" a="1"/>
  <c r="H88" i="7" s="1"/>
  <c r="G88" i="7" a="1"/>
  <c r="G88" i="7" s="1"/>
  <c r="F88" i="7" a="1"/>
  <c r="F88" i="7" s="1"/>
  <c r="E88" i="7"/>
  <c r="K88" i="7" s="1"/>
  <c r="E88" i="7" a="1"/>
  <c r="C88" i="7" a="1"/>
  <c r="C88" i="7" s="1"/>
  <c r="B88" i="7" a="1"/>
  <c r="B88" i="7" s="1"/>
  <c r="H87" i="7" a="1"/>
  <c r="H87" i="7" s="1"/>
  <c r="G87" i="7" a="1"/>
  <c r="G87" i="7" s="1"/>
  <c r="F87" i="7"/>
  <c r="F87" i="7" a="1"/>
  <c r="E87" i="7" a="1"/>
  <c r="E87" i="7" s="1"/>
  <c r="K87" i="7" s="1"/>
  <c r="C87" i="7" a="1"/>
  <c r="C87" i="7" s="1"/>
  <c r="B87" i="7" a="1"/>
  <c r="B87" i="7" s="1"/>
  <c r="H86" i="7" a="1"/>
  <c r="H86" i="7" s="1"/>
  <c r="G86" i="7" a="1"/>
  <c r="G86" i="7" s="1"/>
  <c r="N86" i="7" s="1"/>
  <c r="F86" i="7" a="1"/>
  <c r="F86" i="7" s="1"/>
  <c r="E86" i="7" a="1"/>
  <c r="E86" i="7" s="1"/>
  <c r="C86" i="7" a="1"/>
  <c r="C86" i="7" s="1"/>
  <c r="B86" i="7" a="1"/>
  <c r="B86" i="7" s="1"/>
  <c r="H85" i="7" a="1"/>
  <c r="H85" i="7" s="1"/>
  <c r="G85" i="7" a="1"/>
  <c r="G85" i="7" s="1"/>
  <c r="F85" i="7" a="1"/>
  <c r="F85" i="7" s="1"/>
  <c r="E85" i="7" a="1"/>
  <c r="E85" i="7" s="1"/>
  <c r="K85" i="7" s="1"/>
  <c r="M85" i="7" s="1" a="1"/>
  <c r="M85" i="7" s="1"/>
  <c r="C85" i="7" a="1"/>
  <c r="C85" i="7" s="1"/>
  <c r="B85" i="7" a="1"/>
  <c r="B85" i="7" s="1"/>
  <c r="H84" i="7"/>
  <c r="H84" i="7" a="1"/>
  <c r="G84" i="7"/>
  <c r="G84" i="7" a="1"/>
  <c r="F84" i="7"/>
  <c r="O84" i="7" s="1"/>
  <c r="F84" i="7" a="1"/>
  <c r="E84" i="7"/>
  <c r="K84" i="7" s="1"/>
  <c r="M84" i="7" s="1" a="1"/>
  <c r="M84" i="7" s="1"/>
  <c r="E84" i="7" a="1"/>
  <c r="C84" i="7"/>
  <c r="C84" i="7" a="1"/>
  <c r="B84" i="7"/>
  <c r="B84" i="7" a="1"/>
  <c r="K83" i="7"/>
  <c r="H83" i="7" a="1"/>
  <c r="H83" i="7" s="1"/>
  <c r="G83" i="7" a="1"/>
  <c r="G83" i="7" s="1"/>
  <c r="F83" i="7" a="1"/>
  <c r="F83" i="7" s="1"/>
  <c r="O83" i="7" s="1"/>
  <c r="E83" i="7" a="1"/>
  <c r="E83" i="7" s="1"/>
  <c r="C83" i="7" a="1"/>
  <c r="C83" i="7" s="1"/>
  <c r="B83" i="7" a="1"/>
  <c r="B83" i="7" s="1"/>
  <c r="H82" i="7" a="1"/>
  <c r="H82" i="7" s="1"/>
  <c r="G82" i="7" a="1"/>
  <c r="G82" i="7" s="1"/>
  <c r="F82" i="7" a="1"/>
  <c r="F82" i="7" s="1"/>
  <c r="E82" i="7" a="1"/>
  <c r="E82" i="7" s="1"/>
  <c r="K82" i="7" s="1"/>
  <c r="C82" i="7" a="1"/>
  <c r="C82" i="7" s="1"/>
  <c r="B82" i="7" a="1"/>
  <c r="B82" i="7" s="1"/>
  <c r="H81" i="7" a="1"/>
  <c r="H81" i="7" s="1"/>
  <c r="G81" i="7" a="1"/>
  <c r="G81" i="7" s="1"/>
  <c r="F81" i="7" a="1"/>
  <c r="F81" i="7" s="1"/>
  <c r="E81" i="7"/>
  <c r="K81" i="7" s="1"/>
  <c r="M81" i="7" s="1" a="1"/>
  <c r="M81" i="7" s="1"/>
  <c r="E81" i="7" a="1"/>
  <c r="C81" i="7" a="1"/>
  <c r="C81" i="7" s="1"/>
  <c r="B81" i="7" a="1"/>
  <c r="B81" i="7" s="1"/>
  <c r="H80" i="7"/>
  <c r="H80" i="7" a="1"/>
  <c r="G80" i="7"/>
  <c r="G80" i="7" a="1"/>
  <c r="F80" i="7"/>
  <c r="F80" i="7" a="1"/>
  <c r="E80" i="7"/>
  <c r="K80" i="7" s="1"/>
  <c r="E80" i="7" a="1"/>
  <c r="C80" i="7"/>
  <c r="C80" i="7" a="1"/>
  <c r="B80" i="7"/>
  <c r="B80" i="7" a="1"/>
  <c r="H79" i="7" a="1"/>
  <c r="H79" i="7" s="1"/>
  <c r="G79" i="7" a="1"/>
  <c r="G79" i="7" s="1"/>
  <c r="F79" i="7"/>
  <c r="F79" i="7" a="1"/>
  <c r="E79" i="7" a="1"/>
  <c r="E79" i="7" s="1"/>
  <c r="K79" i="7" s="1"/>
  <c r="C79" i="7" a="1"/>
  <c r="C79" i="7" s="1"/>
  <c r="B79" i="7"/>
  <c r="B79" i="7" a="1"/>
  <c r="H78" i="7"/>
  <c r="H78" i="7" a="1"/>
  <c r="G78" i="7"/>
  <c r="G78" i="7" a="1"/>
  <c r="F78" i="7"/>
  <c r="F78" i="7" a="1"/>
  <c r="E78" i="7"/>
  <c r="E78" i="7" a="1"/>
  <c r="C78" i="7"/>
  <c r="C78" i="7" a="1"/>
  <c r="B78" i="7"/>
  <c r="B78" i="7" a="1"/>
  <c r="H77" i="7" a="1"/>
  <c r="H77" i="7" s="1"/>
  <c r="G77" i="7" a="1"/>
  <c r="G77" i="7" s="1"/>
  <c r="F77" i="7" a="1"/>
  <c r="F77" i="7" s="1"/>
  <c r="E77" i="7" a="1"/>
  <c r="E77" i="7" s="1"/>
  <c r="K77" i="7" s="1"/>
  <c r="M77" i="7" s="1" a="1"/>
  <c r="M77" i="7" s="1"/>
  <c r="C77" i="7"/>
  <c r="C77" i="7" a="1"/>
  <c r="B77" i="7" a="1"/>
  <c r="B77" i="7" s="1"/>
  <c r="H76" i="7"/>
  <c r="H76" i="7" a="1"/>
  <c r="G76" i="7" a="1"/>
  <c r="G76" i="7" s="1"/>
  <c r="F76" i="7" a="1"/>
  <c r="F76" i="7" s="1"/>
  <c r="E76" i="7" a="1"/>
  <c r="E76" i="7" s="1"/>
  <c r="K76" i="7" s="1"/>
  <c r="C76" i="7" a="1"/>
  <c r="C76" i="7" s="1"/>
  <c r="B76" i="7" a="1"/>
  <c r="B76" i="7" s="1"/>
  <c r="H75" i="7" a="1"/>
  <c r="H75" i="7" s="1"/>
  <c r="G75" i="7" a="1"/>
  <c r="G75" i="7" s="1"/>
  <c r="F75" i="7" a="1"/>
  <c r="F75" i="7" s="1"/>
  <c r="E75" i="7" a="1"/>
  <c r="E75" i="7" s="1"/>
  <c r="K75" i="7" s="1"/>
  <c r="C75" i="7" a="1"/>
  <c r="C75" i="7" s="1"/>
  <c r="B75" i="7" a="1"/>
  <c r="B75" i="7" s="1"/>
  <c r="H74" i="7" a="1"/>
  <c r="H74" i="7" s="1"/>
  <c r="G74" i="7" a="1"/>
  <c r="G74" i="7" s="1"/>
  <c r="F74" i="7" a="1"/>
  <c r="F74" i="7" s="1"/>
  <c r="E74" i="7" a="1"/>
  <c r="E74" i="7" s="1"/>
  <c r="K74" i="7" s="1"/>
  <c r="C74" i="7" a="1"/>
  <c r="C74" i="7" s="1"/>
  <c r="B74" i="7" a="1"/>
  <c r="B74" i="7" s="1"/>
  <c r="H73" i="7" a="1"/>
  <c r="H73" i="7" s="1"/>
  <c r="G73" i="7" a="1"/>
  <c r="G73" i="7" s="1"/>
  <c r="F73" i="7" a="1"/>
  <c r="F73" i="7" s="1"/>
  <c r="E73" i="7" a="1"/>
  <c r="E73" i="7" s="1"/>
  <c r="C73" i="7" a="1"/>
  <c r="C73" i="7" s="1"/>
  <c r="B73" i="7" a="1"/>
  <c r="B73" i="7" s="1"/>
  <c r="H72" i="7" a="1"/>
  <c r="H72" i="7" s="1"/>
  <c r="G72" i="7" a="1"/>
  <c r="G72" i="7" s="1"/>
  <c r="F72" i="7" a="1"/>
  <c r="F72" i="7" s="1"/>
  <c r="E72" i="7" a="1"/>
  <c r="E72" i="7" s="1"/>
  <c r="K72" i="7" s="1"/>
  <c r="C72" i="7" a="1"/>
  <c r="C72" i="7" s="1"/>
  <c r="B72" i="7" a="1"/>
  <c r="B72" i="7" s="1"/>
  <c r="H71" i="7" a="1"/>
  <c r="H71" i="7" s="1"/>
  <c r="G71" i="7" a="1"/>
  <c r="G71" i="7" s="1"/>
  <c r="F71" i="7" a="1"/>
  <c r="F71" i="7" s="1"/>
  <c r="E71" i="7" a="1"/>
  <c r="E71" i="7" s="1"/>
  <c r="K71" i="7" s="1"/>
  <c r="C71" i="7" a="1"/>
  <c r="C71" i="7" s="1"/>
  <c r="B71" i="7" a="1"/>
  <c r="B71" i="7" s="1"/>
  <c r="H70" i="7" a="1"/>
  <c r="H70" i="7" s="1"/>
  <c r="G70" i="7" a="1"/>
  <c r="G70" i="7" s="1"/>
  <c r="F70" i="7" a="1"/>
  <c r="F70" i="7" s="1"/>
  <c r="E70" i="7" a="1"/>
  <c r="E70" i="7" s="1"/>
  <c r="C70" i="7" a="1"/>
  <c r="C70" i="7" s="1"/>
  <c r="B70" i="7" a="1"/>
  <c r="B70" i="7" s="1"/>
  <c r="H69" i="7" a="1"/>
  <c r="H69" i="7" s="1"/>
  <c r="G69" i="7" a="1"/>
  <c r="G69" i="7" s="1"/>
  <c r="F69" i="7" a="1"/>
  <c r="F69" i="7" s="1"/>
  <c r="E69" i="7" a="1"/>
  <c r="E69" i="7" s="1"/>
  <c r="K69" i="7" s="1"/>
  <c r="M69" i="7" s="1" a="1"/>
  <c r="M69" i="7" s="1"/>
  <c r="C69" i="7" a="1"/>
  <c r="C69" i="7" s="1"/>
  <c r="B69" i="7" a="1"/>
  <c r="B69" i="7" s="1"/>
  <c r="H68" i="7" a="1"/>
  <c r="H68" i="7" s="1"/>
  <c r="G68" i="7" a="1"/>
  <c r="G68" i="7" s="1"/>
  <c r="F68" i="7" a="1"/>
  <c r="F68" i="7" s="1"/>
  <c r="E68" i="7" a="1"/>
  <c r="E68" i="7" s="1"/>
  <c r="C68" i="7" a="1"/>
  <c r="C68" i="7" s="1"/>
  <c r="B68" i="7" a="1"/>
  <c r="B68" i="7" s="1"/>
  <c r="H67" i="7" a="1"/>
  <c r="H67" i="7" s="1"/>
  <c r="G67" i="7" a="1"/>
  <c r="G67" i="7" s="1"/>
  <c r="F67" i="7" a="1"/>
  <c r="F67" i="7" s="1"/>
  <c r="E67" i="7" a="1"/>
  <c r="E67" i="7" s="1"/>
  <c r="K67" i="7" s="1"/>
  <c r="C67" i="7" a="1"/>
  <c r="C67" i="7" s="1"/>
  <c r="B67" i="7" a="1"/>
  <c r="B67" i="7" s="1"/>
  <c r="H66" i="7" a="1"/>
  <c r="H66" i="7" s="1"/>
  <c r="G66" i="7" a="1"/>
  <c r="G66" i="7" s="1"/>
  <c r="F66" i="7" a="1"/>
  <c r="F66" i="7" s="1"/>
  <c r="E66" i="7" a="1"/>
  <c r="E66" i="7" s="1"/>
  <c r="K66" i="7" s="1"/>
  <c r="C66" i="7" a="1"/>
  <c r="C66" i="7" s="1"/>
  <c r="B66" i="7" a="1"/>
  <c r="B66" i="7" s="1"/>
  <c r="H65" i="7" a="1"/>
  <c r="H65" i="7" s="1"/>
  <c r="G65" i="7" a="1"/>
  <c r="G65" i="7" s="1"/>
  <c r="F65" i="7" a="1"/>
  <c r="F65" i="7" s="1"/>
  <c r="E65" i="7" a="1"/>
  <c r="E65" i="7" s="1"/>
  <c r="C65" i="7" a="1"/>
  <c r="C65" i="7" s="1"/>
  <c r="B65" i="7" a="1"/>
  <c r="B65" i="7" s="1"/>
  <c r="H64" i="7" a="1"/>
  <c r="H64" i="7" s="1"/>
  <c r="G64" i="7"/>
  <c r="G64" i="7" a="1"/>
  <c r="F64" i="7" a="1"/>
  <c r="F64" i="7" s="1"/>
  <c r="E64" i="7" a="1"/>
  <c r="E64" i="7" s="1"/>
  <c r="K64" i="7" s="1"/>
  <c r="C64" i="7"/>
  <c r="C64" i="7" a="1"/>
  <c r="B64" i="7" a="1"/>
  <c r="B64" i="7" s="1"/>
  <c r="H63" i="7" a="1"/>
  <c r="H63" i="7" s="1"/>
  <c r="G63" i="7" a="1"/>
  <c r="G63" i="7" s="1"/>
  <c r="F63" i="7" a="1"/>
  <c r="F63" i="7" s="1"/>
  <c r="O63" i="7" s="1"/>
  <c r="E63" i="7" a="1"/>
  <c r="E63" i="7" s="1"/>
  <c r="K63" i="7" s="1"/>
  <c r="C63" i="7" a="1"/>
  <c r="C63" i="7" s="1"/>
  <c r="B63" i="7" a="1"/>
  <c r="B63" i="7" s="1"/>
  <c r="H62" i="7"/>
  <c r="H62" i="7" a="1"/>
  <c r="G62" i="7" a="1"/>
  <c r="G62" i="7" s="1"/>
  <c r="F62" i="7" a="1"/>
  <c r="F62" i="7" s="1"/>
  <c r="E62" i="7" a="1"/>
  <c r="E62" i="7" s="1"/>
  <c r="C62" i="7" a="1"/>
  <c r="C62" i="7" s="1"/>
  <c r="B62" i="7" a="1"/>
  <c r="B62" i="7" s="1"/>
  <c r="H61" i="7" a="1"/>
  <c r="H61" i="7" s="1"/>
  <c r="G61" i="7" a="1"/>
  <c r="G61" i="7" s="1"/>
  <c r="F61" i="7" a="1"/>
  <c r="F61" i="7" s="1"/>
  <c r="E61" i="7" a="1"/>
  <c r="E61" i="7" s="1"/>
  <c r="K61" i="7" s="1"/>
  <c r="M61" i="7" s="1" a="1"/>
  <c r="M61" i="7" s="1"/>
  <c r="C61" i="7" a="1"/>
  <c r="C61" i="7" s="1"/>
  <c r="B61" i="7" a="1"/>
  <c r="B61" i="7" s="1"/>
  <c r="H60" i="7" a="1"/>
  <c r="H60" i="7" s="1"/>
  <c r="G60" i="7" a="1"/>
  <c r="G60" i="7" s="1"/>
  <c r="F60" i="7" a="1"/>
  <c r="F60" i="7" s="1"/>
  <c r="E60" i="7" a="1"/>
  <c r="E60" i="7" s="1"/>
  <c r="K60" i="7" s="1"/>
  <c r="C60" i="7" a="1"/>
  <c r="C60" i="7" s="1"/>
  <c r="B60" i="7" a="1"/>
  <c r="B60" i="7" s="1"/>
  <c r="H59" i="7" a="1"/>
  <c r="H59" i="7" s="1"/>
  <c r="G59" i="7" a="1"/>
  <c r="G59" i="7" s="1"/>
  <c r="F59" i="7" a="1"/>
  <c r="F59" i="7" s="1"/>
  <c r="E59" i="7" a="1"/>
  <c r="E59" i="7" s="1"/>
  <c r="K59" i="7" s="1"/>
  <c r="C59" i="7" a="1"/>
  <c r="C59" i="7" s="1"/>
  <c r="B59" i="7" a="1"/>
  <c r="B59" i="7" s="1"/>
  <c r="H58" i="7" a="1"/>
  <c r="H58" i="7" s="1"/>
  <c r="G58" i="7" a="1"/>
  <c r="G58" i="7" s="1"/>
  <c r="F58" i="7" a="1"/>
  <c r="F58" i="7" s="1"/>
  <c r="E58" i="7" a="1"/>
  <c r="E58" i="7" s="1"/>
  <c r="K58" i="7" s="1"/>
  <c r="C58" i="7" a="1"/>
  <c r="C58" i="7" s="1"/>
  <c r="B58" i="7" a="1"/>
  <c r="B58" i="7" s="1"/>
  <c r="H57" i="7" a="1"/>
  <c r="H57" i="7" s="1"/>
  <c r="G57" i="7" a="1"/>
  <c r="G57" i="7" s="1"/>
  <c r="F57" i="7" a="1"/>
  <c r="F57" i="7" s="1"/>
  <c r="E57" i="7" a="1"/>
  <c r="E57" i="7" s="1"/>
  <c r="C57" i="7" a="1"/>
  <c r="C57" i="7" s="1"/>
  <c r="B57" i="7" a="1"/>
  <c r="B57" i="7" s="1"/>
  <c r="H56" i="7" a="1"/>
  <c r="H56" i="7" s="1"/>
  <c r="G56" i="7" a="1"/>
  <c r="G56" i="7" s="1"/>
  <c r="F56" i="7" a="1"/>
  <c r="F56" i="7" s="1"/>
  <c r="E56" i="7" a="1"/>
  <c r="E56" i="7" s="1"/>
  <c r="K56" i="7" s="1"/>
  <c r="C56" i="7" a="1"/>
  <c r="C56" i="7" s="1"/>
  <c r="B56" i="7" a="1"/>
  <c r="B56" i="7" s="1"/>
  <c r="H55" i="7" a="1"/>
  <c r="H55" i="7" s="1"/>
  <c r="G55" i="7" a="1"/>
  <c r="G55" i="7" s="1"/>
  <c r="F55" i="7" a="1"/>
  <c r="F55" i="7" s="1"/>
  <c r="E55" i="7" a="1"/>
  <c r="E55" i="7" s="1"/>
  <c r="K55" i="7" s="1"/>
  <c r="C55" i="7" a="1"/>
  <c r="C55" i="7" s="1"/>
  <c r="B55" i="7" a="1"/>
  <c r="B55" i="7" s="1"/>
  <c r="H54" i="7" a="1"/>
  <c r="H54" i="7" s="1"/>
  <c r="G54" i="7" a="1"/>
  <c r="G54" i="7" s="1"/>
  <c r="N54" i="7" s="1"/>
  <c r="F54" i="7" a="1"/>
  <c r="F54" i="7" s="1"/>
  <c r="E54" i="7" a="1"/>
  <c r="E54" i="7" s="1"/>
  <c r="C54" i="7" a="1"/>
  <c r="C54" i="7" s="1"/>
  <c r="B54" i="7" a="1"/>
  <c r="B54" i="7" s="1"/>
  <c r="H53" i="7" a="1"/>
  <c r="H53" i="7" s="1"/>
  <c r="G53" i="7" a="1"/>
  <c r="G53" i="7" s="1"/>
  <c r="F53" i="7" a="1"/>
  <c r="F53" i="7" s="1"/>
  <c r="E53" i="7" a="1"/>
  <c r="E53" i="7" s="1"/>
  <c r="K53" i="7" s="1"/>
  <c r="M53" i="7" s="1" a="1"/>
  <c r="M53" i="7" s="1"/>
  <c r="C53" i="7" a="1"/>
  <c r="C53" i="7" s="1"/>
  <c r="B53" i="7" a="1"/>
  <c r="B53" i="7" s="1"/>
  <c r="H52" i="7" a="1"/>
  <c r="H52" i="7" s="1"/>
  <c r="G52" i="7" a="1"/>
  <c r="G52" i="7" s="1"/>
  <c r="F52" i="7" a="1"/>
  <c r="F52" i="7" s="1"/>
  <c r="O52" i="7" s="1"/>
  <c r="E52" i="7" a="1"/>
  <c r="E52" i="7" s="1"/>
  <c r="K52" i="7" s="1"/>
  <c r="C52" i="7" a="1"/>
  <c r="C52" i="7" s="1"/>
  <c r="B52" i="7" a="1"/>
  <c r="B52" i="7" s="1"/>
  <c r="H51" i="7" a="1"/>
  <c r="H51" i="7" s="1"/>
  <c r="G51" i="7" a="1"/>
  <c r="G51" i="7" s="1"/>
  <c r="F51" i="7" a="1"/>
  <c r="F51" i="7" s="1"/>
  <c r="E51" i="7" a="1"/>
  <c r="E51" i="7" s="1"/>
  <c r="K51" i="7" s="1"/>
  <c r="C51" i="7" a="1"/>
  <c r="C51" i="7" s="1"/>
  <c r="B51" i="7" a="1"/>
  <c r="B51" i="7" s="1"/>
  <c r="H50" i="7" a="1"/>
  <c r="H50" i="7" s="1"/>
  <c r="G50" i="7" a="1"/>
  <c r="G50" i="7" s="1"/>
  <c r="N50" i="7" s="1"/>
  <c r="F50" i="7" a="1"/>
  <c r="F50" i="7" s="1"/>
  <c r="E50" i="7" a="1"/>
  <c r="E50" i="7" s="1"/>
  <c r="K50" i="7" s="1"/>
  <c r="C50" i="7" a="1"/>
  <c r="C50" i="7" s="1"/>
  <c r="B50" i="7" a="1"/>
  <c r="B50" i="7" s="1"/>
  <c r="H49" i="7" a="1"/>
  <c r="H49" i="7" s="1"/>
  <c r="G49" i="7"/>
  <c r="N49" i="7" s="1"/>
  <c r="G49" i="7" a="1"/>
  <c r="F49" i="7" a="1"/>
  <c r="F49" i="7" s="1"/>
  <c r="E49" i="7" a="1"/>
  <c r="E49" i="7" s="1"/>
  <c r="C49" i="7" a="1"/>
  <c r="C49" i="7" s="1"/>
  <c r="B49" i="7" a="1"/>
  <c r="B49" i="7" s="1"/>
  <c r="H48" i="7" a="1"/>
  <c r="H48" i="7" s="1"/>
  <c r="G48" i="7" a="1"/>
  <c r="G48" i="7" s="1"/>
  <c r="F48" i="7" a="1"/>
  <c r="F48" i="7" s="1"/>
  <c r="E48" i="7" a="1"/>
  <c r="E48" i="7" s="1"/>
  <c r="K48" i="7" s="1"/>
  <c r="C48" i="7" a="1"/>
  <c r="C48" i="7" s="1"/>
  <c r="B48" i="7" a="1"/>
  <c r="B48" i="7" s="1"/>
  <c r="H47" i="7" a="1"/>
  <c r="H47" i="7" s="1"/>
  <c r="G47" i="7" a="1"/>
  <c r="G47" i="7" s="1"/>
  <c r="F47" i="7" a="1"/>
  <c r="F47" i="7" s="1"/>
  <c r="E47" i="7" a="1"/>
  <c r="E47" i="7" s="1"/>
  <c r="K47" i="7" s="1"/>
  <c r="C47" i="7" a="1"/>
  <c r="C47" i="7" s="1"/>
  <c r="B47" i="7" a="1"/>
  <c r="B47" i="7" s="1"/>
  <c r="H46" i="7" a="1"/>
  <c r="H46" i="7" s="1"/>
  <c r="G46" i="7" a="1"/>
  <c r="G46" i="7" s="1"/>
  <c r="F46" i="7" a="1"/>
  <c r="F46" i="7" s="1"/>
  <c r="E46" i="7" a="1"/>
  <c r="E46" i="7" s="1"/>
  <c r="C46" i="7" a="1"/>
  <c r="C46" i="7" s="1"/>
  <c r="B46" i="7" a="1"/>
  <c r="B46" i="7" s="1"/>
  <c r="H45" i="7" a="1"/>
  <c r="H45" i="7" s="1"/>
  <c r="G45" i="7" a="1"/>
  <c r="G45" i="7" s="1"/>
  <c r="F45" i="7" a="1"/>
  <c r="F45" i="7" s="1"/>
  <c r="E45" i="7" a="1"/>
  <c r="E45" i="7" s="1"/>
  <c r="K45" i="7" s="1"/>
  <c r="M45" i="7" s="1" a="1"/>
  <c r="M45" i="7" s="1"/>
  <c r="C45" i="7" a="1"/>
  <c r="C45" i="7" s="1"/>
  <c r="B45" i="7" a="1"/>
  <c r="B45" i="7" s="1"/>
  <c r="H44" i="7" a="1"/>
  <c r="H44" i="7" s="1"/>
  <c r="G44" i="7" a="1"/>
  <c r="G44" i="7" s="1"/>
  <c r="F44" i="7" a="1"/>
  <c r="F44" i="7" s="1"/>
  <c r="E44" i="7" a="1"/>
  <c r="E44" i="7" s="1"/>
  <c r="K44" i="7" s="1"/>
  <c r="M44" i="7" s="1" a="1"/>
  <c r="M44" i="7" s="1"/>
  <c r="C44" i="7"/>
  <c r="C44" i="7" a="1"/>
  <c r="B44" i="7" a="1"/>
  <c r="B44" i="7" s="1"/>
  <c r="H43" i="7" a="1"/>
  <c r="H43" i="7" s="1"/>
  <c r="N43" i="7" s="1"/>
  <c r="G43" i="7" a="1"/>
  <c r="G43" i="7" s="1"/>
  <c r="F43" i="7" a="1"/>
  <c r="F43" i="7" s="1"/>
  <c r="E43" i="7" a="1"/>
  <c r="E43" i="7" s="1"/>
  <c r="K43" i="7" s="1"/>
  <c r="C43" i="7" a="1"/>
  <c r="C43" i="7" s="1"/>
  <c r="B43" i="7" a="1"/>
  <c r="B43" i="7" s="1"/>
  <c r="H42" i="7" a="1"/>
  <c r="H42" i="7" s="1"/>
  <c r="G42" i="7" a="1"/>
  <c r="G42" i="7" s="1"/>
  <c r="F42" i="7"/>
  <c r="F42" i="7" a="1"/>
  <c r="E42" i="7" a="1"/>
  <c r="E42" i="7" s="1"/>
  <c r="K42" i="7" s="1"/>
  <c r="C42" i="7" a="1"/>
  <c r="C42" i="7" s="1"/>
  <c r="B42" i="7"/>
  <c r="B42" i="7" a="1"/>
  <c r="H41" i="7" a="1"/>
  <c r="H41" i="7" s="1"/>
  <c r="G41" i="7" a="1"/>
  <c r="G41" i="7" s="1"/>
  <c r="F41" i="7" a="1"/>
  <c r="F41" i="7" s="1"/>
  <c r="E41" i="7" a="1"/>
  <c r="E41" i="7" s="1"/>
  <c r="C41" i="7" a="1"/>
  <c r="C41" i="7" s="1"/>
  <c r="B41" i="7" a="1"/>
  <c r="B41" i="7" s="1"/>
  <c r="H40" i="7" a="1"/>
  <c r="H40" i="7" s="1"/>
  <c r="G40" i="7" a="1"/>
  <c r="G40" i="7" s="1"/>
  <c r="F40" i="7" a="1"/>
  <c r="F40" i="7" s="1"/>
  <c r="E40" i="7" a="1"/>
  <c r="E40" i="7" s="1"/>
  <c r="K40" i="7" s="1"/>
  <c r="C40" i="7" a="1"/>
  <c r="C40" i="7" s="1"/>
  <c r="B40" i="7" a="1"/>
  <c r="B40" i="7" s="1"/>
  <c r="H39" i="7" a="1"/>
  <c r="H39" i="7" s="1"/>
  <c r="G39" i="7" a="1"/>
  <c r="G39" i="7" s="1"/>
  <c r="F39" i="7" a="1"/>
  <c r="F39" i="7" s="1"/>
  <c r="E39" i="7" a="1"/>
  <c r="E39" i="7" s="1"/>
  <c r="K39" i="7" s="1"/>
  <c r="C39" i="7" a="1"/>
  <c r="C39" i="7" s="1"/>
  <c r="B39" i="7" a="1"/>
  <c r="B39" i="7" s="1"/>
  <c r="H38" i="7" a="1"/>
  <c r="H38" i="7" s="1"/>
  <c r="G38" i="7" a="1"/>
  <c r="G38" i="7" s="1"/>
  <c r="F38" i="7" a="1"/>
  <c r="F38" i="7" s="1"/>
  <c r="E38" i="7" a="1"/>
  <c r="E38" i="7" s="1"/>
  <c r="C38" i="7" a="1"/>
  <c r="C38" i="7" s="1"/>
  <c r="B38" i="7" a="1"/>
  <c r="B38" i="7" s="1"/>
  <c r="H37" i="7" a="1"/>
  <c r="H37" i="7" s="1"/>
  <c r="G37" i="7" a="1"/>
  <c r="G37" i="7" s="1"/>
  <c r="F37" i="7" a="1"/>
  <c r="F37" i="7" s="1"/>
  <c r="E37" i="7" a="1"/>
  <c r="E37" i="7" s="1"/>
  <c r="K37" i="7" s="1"/>
  <c r="M37" i="7" s="1" a="1"/>
  <c r="M37" i="7" s="1"/>
  <c r="C37" i="7" a="1"/>
  <c r="C37" i="7" s="1"/>
  <c r="B37" i="7" a="1"/>
  <c r="B37" i="7" s="1"/>
  <c r="H36" i="7" a="1"/>
  <c r="H36" i="7" s="1"/>
  <c r="G36" i="7" a="1"/>
  <c r="G36" i="7" s="1"/>
  <c r="F36" i="7" a="1"/>
  <c r="F36" i="7" s="1"/>
  <c r="E36" i="7" a="1"/>
  <c r="E36" i="7" s="1"/>
  <c r="C36" i="7"/>
  <c r="C36" i="7" a="1"/>
  <c r="B36" i="7" a="1"/>
  <c r="B36" i="7" s="1"/>
  <c r="H35" i="7" a="1"/>
  <c r="H35" i="7" s="1"/>
  <c r="G35" i="7" a="1"/>
  <c r="G35" i="7" s="1"/>
  <c r="F35" i="7" a="1"/>
  <c r="F35" i="7" s="1"/>
  <c r="E35" i="7" a="1"/>
  <c r="E35" i="7" s="1"/>
  <c r="K35" i="7" s="1"/>
  <c r="C35" i="7" a="1"/>
  <c r="C35" i="7" s="1"/>
  <c r="B35" i="7" a="1"/>
  <c r="B35" i="7" s="1"/>
  <c r="H34" i="7" a="1"/>
  <c r="H34" i="7" s="1"/>
  <c r="G34" i="7" a="1"/>
  <c r="G34" i="7" s="1"/>
  <c r="F34" i="7" a="1"/>
  <c r="F34" i="7" s="1"/>
  <c r="E34" i="7" a="1"/>
  <c r="E34" i="7" s="1"/>
  <c r="K34" i="7" s="1"/>
  <c r="C34" i="7" a="1"/>
  <c r="C34" i="7" s="1"/>
  <c r="B34" i="7" a="1"/>
  <c r="B34" i="7" s="1"/>
  <c r="H33" i="7" a="1"/>
  <c r="H33" i="7" s="1"/>
  <c r="G33" i="7" a="1"/>
  <c r="G33" i="7" s="1"/>
  <c r="F33" i="7" a="1"/>
  <c r="F33" i="7" s="1"/>
  <c r="E33" i="7" a="1"/>
  <c r="E33" i="7" s="1"/>
  <c r="C33" i="7" a="1"/>
  <c r="C33" i="7" s="1"/>
  <c r="B33" i="7" a="1"/>
  <c r="B33" i="7" s="1"/>
  <c r="H32" i="7" a="1"/>
  <c r="H32" i="7" s="1"/>
  <c r="G32" i="7"/>
  <c r="G32" i="7" a="1"/>
  <c r="F32" i="7" a="1"/>
  <c r="F32" i="7" s="1"/>
  <c r="E32" i="7" a="1"/>
  <c r="E32" i="7" s="1"/>
  <c r="K32" i="7" s="1"/>
  <c r="C32" i="7" a="1"/>
  <c r="C32" i="7" s="1"/>
  <c r="B32" i="7" a="1"/>
  <c r="B32" i="7" s="1"/>
  <c r="H31" i="7" a="1"/>
  <c r="H31" i="7" s="1"/>
  <c r="G31" i="7" a="1"/>
  <c r="G31" i="7" s="1"/>
  <c r="F31" i="7" a="1"/>
  <c r="F31" i="7" s="1"/>
  <c r="E31" i="7" a="1"/>
  <c r="E31" i="7" s="1"/>
  <c r="K31" i="7" s="1"/>
  <c r="C31" i="7" a="1"/>
  <c r="C31" i="7" s="1"/>
  <c r="B31" i="7" a="1"/>
  <c r="B31" i="7" s="1"/>
  <c r="H30" i="7" a="1"/>
  <c r="H30" i="7" s="1"/>
  <c r="G30" i="7" a="1"/>
  <c r="G30" i="7" s="1"/>
  <c r="F30" i="7" a="1"/>
  <c r="F30" i="7" s="1"/>
  <c r="E30" i="7" a="1"/>
  <c r="E30" i="7" s="1"/>
  <c r="C30" i="7" a="1"/>
  <c r="C30" i="7" s="1"/>
  <c r="B30" i="7" a="1"/>
  <c r="B30" i="7" s="1"/>
  <c r="H29" i="7" a="1"/>
  <c r="H29" i="7" s="1"/>
  <c r="G29" i="7" a="1"/>
  <c r="G29" i="7" s="1"/>
  <c r="F29" i="7" a="1"/>
  <c r="F29" i="7" s="1"/>
  <c r="E29" i="7" a="1"/>
  <c r="E29" i="7" s="1"/>
  <c r="K29" i="7" s="1"/>
  <c r="C29" i="7" a="1"/>
  <c r="C29" i="7" s="1"/>
  <c r="B29" i="7" a="1"/>
  <c r="B29" i="7" s="1"/>
  <c r="H28" i="7" a="1"/>
  <c r="H28" i="7" s="1"/>
  <c r="G28" i="7"/>
  <c r="G28" i="7" a="1"/>
  <c r="F28" i="7" a="1"/>
  <c r="F28" i="7" s="1"/>
  <c r="E28" i="7"/>
  <c r="K28" i="7" s="1"/>
  <c r="E28" i="7" a="1"/>
  <c r="C28" i="7" a="1"/>
  <c r="C28" i="7" s="1"/>
  <c r="B28" i="7"/>
  <c r="B28" i="7" a="1"/>
  <c r="H27" i="7" a="1"/>
  <c r="H27" i="7" s="1"/>
  <c r="G27" i="7" a="1"/>
  <c r="G27" i="7" s="1"/>
  <c r="F27" i="7" a="1"/>
  <c r="F27" i="7" s="1"/>
  <c r="E27" i="7" a="1"/>
  <c r="E27" i="7"/>
  <c r="C27" i="7" a="1"/>
  <c r="C27" i="7" s="1"/>
  <c r="B27" i="7" a="1"/>
  <c r="B27" i="7" s="1"/>
  <c r="G30" i="6" a="1"/>
  <c r="G30" i="6" s="1"/>
  <c r="H27" i="6"/>
  <c r="G27" i="6" a="1"/>
  <c r="G27" i="6" s="1"/>
  <c r="G24" i="6" s="1"/>
  <c r="F27" i="6" a="1"/>
  <c r="F27" i="6" s="1"/>
  <c r="F23" i="6" a="1"/>
  <c r="F23" i="6" s="1"/>
  <c r="H16" i="6" a="1"/>
  <c r="H16" i="6" s="1"/>
  <c r="G16" i="6" a="1"/>
  <c r="G16" i="6" s="1"/>
  <c r="F16" i="6" a="1"/>
  <c r="F16" i="6" s="1"/>
  <c r="H15" i="6" a="1"/>
  <c r="H15" i="6" s="1"/>
  <c r="G15" i="6" a="1"/>
  <c r="G15" i="6" s="1"/>
  <c r="F15" i="6" a="1"/>
  <c r="F15" i="6" s="1"/>
  <c r="H14" i="6" a="1"/>
  <c r="H14" i="6" s="1"/>
  <c r="G14" i="6" a="1"/>
  <c r="G14" i="6" s="1"/>
  <c r="F14" i="6" a="1"/>
  <c r="F14" i="6" s="1"/>
  <c r="H13" i="6" a="1"/>
  <c r="H13" i="6" s="1"/>
  <c r="G13" i="6" a="1"/>
  <c r="G13" i="6" s="1"/>
  <c r="F13" i="6" a="1"/>
  <c r="F13" i="6" s="1"/>
  <c r="H12" i="6" a="1"/>
  <c r="H12" i="6" s="1"/>
  <c r="G12" i="6" a="1"/>
  <c r="G12" i="6" s="1"/>
  <c r="F12" i="6" a="1"/>
  <c r="F12" i="6" s="1"/>
  <c r="H11" i="6" a="1"/>
  <c r="H11" i="6" s="1"/>
  <c r="G11" i="6" a="1"/>
  <c r="G11" i="6" s="1"/>
  <c r="F11" i="6" a="1"/>
  <c r="F11" i="6" s="1"/>
  <c r="H10" i="6" a="1"/>
  <c r="H10" i="6" s="1"/>
  <c r="G10" i="6" a="1"/>
  <c r="G10" i="6" s="1"/>
  <c r="F10" i="6" a="1"/>
  <c r="F10" i="6" s="1"/>
  <c r="H9" i="6" a="1"/>
  <c r="H9" i="6" s="1"/>
  <c r="G9" i="6" a="1"/>
  <c r="G9" i="6" s="1"/>
  <c r="F9" i="6" a="1"/>
  <c r="F9" i="6" s="1"/>
  <c r="H26" i="6"/>
  <c r="G26" i="6" a="1"/>
  <c r="G26" i="6" s="1"/>
  <c r="H21" i="6"/>
  <c r="G21" i="6" a="1"/>
  <c r="G21" i="6" s="1"/>
  <c r="F21" i="6"/>
  <c r="B11" i="6"/>
  <c r="B12" i="6" s="1"/>
  <c r="B13" i="6" s="1"/>
  <c r="B14" i="6" s="1"/>
  <c r="B15" i="6" s="1"/>
  <c r="B16" i="6" s="1"/>
  <c r="B10" i="6"/>
  <c r="D9" i="6" a="1"/>
  <c r="D9" i="6" s="1"/>
  <c r="B9" i="6"/>
  <c r="M8" i="2" a="1"/>
  <c r="M8" i="2" s="1"/>
  <c r="M9" i="2" a="1"/>
  <c r="M9" i="2" s="1"/>
  <c r="M10" i="2" a="1"/>
  <c r="M10" i="2" s="1"/>
  <c r="M11" i="2" a="1"/>
  <c r="M11" i="2" s="1"/>
  <c r="M12" i="2" a="1"/>
  <c r="M12" i="2" s="1"/>
  <c r="M13" i="2" a="1"/>
  <c r="M13" i="2" s="1"/>
  <c r="M14" i="2" a="1"/>
  <c r="M14" i="2" s="1"/>
  <c r="M15" i="2" a="1"/>
  <c r="M15" i="2" s="1"/>
  <c r="M16" i="2" a="1"/>
  <c r="M16" i="2" s="1"/>
  <c r="M17" i="2" a="1"/>
  <c r="M17" i="2" s="1"/>
  <c r="M18" i="2" a="1"/>
  <c r="M18" i="2" s="1"/>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M8" i="3"/>
  <c r="M9" i="3"/>
  <c r="M10" i="3"/>
  <c r="E9" i="6" s="1" a="1"/>
  <c r="E9" i="6" s="1"/>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L8" i="3"/>
  <c r="D16" i="6" s="1" a="1"/>
  <c r="D16" i="6" s="1"/>
  <c r="L9" i="3"/>
  <c r="L10" i="3"/>
  <c r="D11" i="6" s="1" a="1"/>
  <c r="D11" i="6" s="1"/>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K8" i="3"/>
  <c r="N8" i="3" s="1"/>
  <c r="K9" i="3"/>
  <c r="N9" i="3" s="1"/>
  <c r="K10" i="3"/>
  <c r="N10" i="3" s="1"/>
  <c r="K11" i="3"/>
  <c r="N11" i="3" s="1"/>
  <c r="K12" i="3"/>
  <c r="N12" i="3" s="1"/>
  <c r="K13" i="3"/>
  <c r="N13" i="3" s="1"/>
  <c r="K14" i="3"/>
  <c r="N14" i="3" s="1"/>
  <c r="K15" i="3"/>
  <c r="N15" i="3" s="1"/>
  <c r="K16" i="3"/>
  <c r="N16" i="3" s="1"/>
  <c r="K17" i="3"/>
  <c r="N17" i="3" s="1"/>
  <c r="K18" i="3"/>
  <c r="N18" i="3" s="1"/>
  <c r="K19" i="3"/>
  <c r="N19" i="3" s="1"/>
  <c r="K20" i="3"/>
  <c r="N20" i="3" s="1"/>
  <c r="K21" i="3"/>
  <c r="N21" i="3" s="1"/>
  <c r="K22" i="3"/>
  <c r="N22" i="3" s="1"/>
  <c r="K23" i="3"/>
  <c r="N23" i="3" s="1"/>
  <c r="K24" i="3"/>
  <c r="N24" i="3" s="1"/>
  <c r="K25" i="3"/>
  <c r="N25" i="3" s="1"/>
  <c r="K26" i="3"/>
  <c r="N26" i="3" s="1"/>
  <c r="K27" i="3"/>
  <c r="N27" i="3" s="1"/>
  <c r="K28" i="3"/>
  <c r="N28" i="3" s="1"/>
  <c r="K29" i="3"/>
  <c r="N29" i="3" s="1"/>
  <c r="K30" i="3"/>
  <c r="N30" i="3" s="1"/>
  <c r="K31" i="3"/>
  <c r="N31" i="3" s="1"/>
  <c r="K32" i="3"/>
  <c r="N32" i="3" s="1"/>
  <c r="K33" i="3"/>
  <c r="N33" i="3" s="1"/>
  <c r="K34" i="3"/>
  <c r="N34" i="3" s="1"/>
  <c r="K35" i="3"/>
  <c r="N35" i="3" s="1"/>
  <c r="K36" i="3"/>
  <c r="N36" i="3" s="1"/>
  <c r="K37" i="3"/>
  <c r="N37" i="3" s="1"/>
  <c r="K38" i="3"/>
  <c r="N38" i="3" s="1"/>
  <c r="K39" i="3"/>
  <c r="N39" i="3" s="1"/>
  <c r="K40" i="3"/>
  <c r="N40" i="3" s="1"/>
  <c r="K41" i="3"/>
  <c r="N41" i="3" s="1"/>
  <c r="K42" i="3"/>
  <c r="N42" i="3" s="1"/>
  <c r="K43" i="3"/>
  <c r="N43" i="3" s="1"/>
  <c r="K44" i="3"/>
  <c r="N44" i="3" s="1"/>
  <c r="K45" i="3"/>
  <c r="N45" i="3" s="1"/>
  <c r="K46" i="3"/>
  <c r="N46" i="3" s="1"/>
  <c r="K47" i="3"/>
  <c r="N47" i="3" s="1"/>
  <c r="K48" i="3"/>
  <c r="N48" i="3" s="1"/>
  <c r="K49" i="3"/>
  <c r="N49" i="3" s="1"/>
  <c r="K50" i="3"/>
  <c r="N50" i="3" s="1"/>
  <c r="K51" i="3"/>
  <c r="N51" i="3" s="1"/>
  <c r="K52" i="3"/>
  <c r="N52" i="3" s="1"/>
  <c r="K53" i="3"/>
  <c r="N53" i="3" s="1"/>
  <c r="K54" i="3"/>
  <c r="N54" i="3" s="1"/>
  <c r="K55" i="3"/>
  <c r="N55" i="3" s="1"/>
  <c r="K56" i="3"/>
  <c r="N56" i="3" s="1"/>
  <c r="K57" i="3"/>
  <c r="N57" i="3" s="1"/>
  <c r="K58" i="3"/>
  <c r="N58" i="3" s="1"/>
  <c r="K59" i="3"/>
  <c r="N59" i="3" s="1"/>
  <c r="K60" i="3"/>
  <c r="N60" i="3" s="1"/>
  <c r="K61" i="3"/>
  <c r="N61" i="3" s="1"/>
  <c r="K62" i="3"/>
  <c r="N62" i="3" s="1"/>
  <c r="K63" i="3"/>
  <c r="N63" i="3" s="1"/>
  <c r="K64" i="3"/>
  <c r="N64" i="3" s="1"/>
  <c r="K65" i="3"/>
  <c r="N65" i="3" s="1"/>
  <c r="K66" i="3"/>
  <c r="N66" i="3" s="1"/>
  <c r="K67" i="3"/>
  <c r="N67" i="3" s="1"/>
  <c r="K68" i="3"/>
  <c r="N68" i="3" s="1"/>
  <c r="K69" i="3"/>
  <c r="N69" i="3" s="1"/>
  <c r="K70" i="3"/>
  <c r="N70" i="3" s="1"/>
  <c r="K71" i="3"/>
  <c r="N71" i="3" s="1"/>
  <c r="K72" i="3"/>
  <c r="N72" i="3" s="1"/>
  <c r="K73" i="3"/>
  <c r="N73" i="3" s="1"/>
  <c r="K74" i="3"/>
  <c r="N74" i="3" s="1"/>
  <c r="K75" i="3"/>
  <c r="N75" i="3" s="1"/>
  <c r="K76" i="3"/>
  <c r="N76" i="3" s="1"/>
  <c r="K77" i="3"/>
  <c r="N77" i="3" s="1"/>
  <c r="K78" i="3"/>
  <c r="N78" i="3" s="1"/>
  <c r="K79" i="3"/>
  <c r="N79" i="3" s="1"/>
  <c r="K80" i="3"/>
  <c r="N80" i="3" s="1"/>
  <c r="K81" i="3"/>
  <c r="N81" i="3" s="1"/>
  <c r="K82" i="3"/>
  <c r="N82" i="3" s="1"/>
  <c r="K83" i="3"/>
  <c r="N83" i="3" s="1"/>
  <c r="K84" i="3"/>
  <c r="N84" i="3" s="1"/>
  <c r="K85" i="3"/>
  <c r="N85" i="3" s="1"/>
  <c r="K86" i="3"/>
  <c r="N86" i="3" s="1"/>
  <c r="K87" i="3"/>
  <c r="N87" i="3" s="1"/>
  <c r="K88" i="3"/>
  <c r="N88" i="3" s="1"/>
  <c r="K89" i="3"/>
  <c r="N89" i="3" s="1"/>
  <c r="K90" i="3"/>
  <c r="N90" i="3" s="1"/>
  <c r="K91" i="3"/>
  <c r="N91" i="3" s="1"/>
  <c r="K92" i="3"/>
  <c r="N92" i="3" s="1"/>
  <c r="K93" i="3"/>
  <c r="N93" i="3" s="1"/>
  <c r="K94" i="3"/>
  <c r="N94" i="3" s="1"/>
  <c r="K95" i="3"/>
  <c r="N95" i="3" s="1"/>
  <c r="K96" i="3"/>
  <c r="N96" i="3" s="1"/>
  <c r="K97" i="3"/>
  <c r="N97" i="3" s="1"/>
  <c r="K98" i="3"/>
  <c r="N98" i="3" s="1"/>
  <c r="K99" i="3"/>
  <c r="N99" i="3" s="1"/>
  <c r="K100" i="3"/>
  <c r="N100" i="3" s="1"/>
  <c r="K101" i="3"/>
  <c r="N101" i="3" s="1"/>
  <c r="K102" i="3"/>
  <c r="N102" i="3" s="1"/>
  <c r="K103" i="3"/>
  <c r="N103" i="3" s="1"/>
  <c r="K104" i="3"/>
  <c r="N104" i="3" s="1"/>
  <c r="K105" i="3"/>
  <c r="N105" i="3" s="1"/>
  <c r="K106" i="3"/>
  <c r="N106" i="3" s="1"/>
  <c r="K107" i="3"/>
  <c r="N107" i="3" s="1"/>
  <c r="K108" i="3"/>
  <c r="N108" i="3" s="1"/>
  <c r="K109" i="3"/>
  <c r="N109" i="3" s="1"/>
  <c r="K110" i="3"/>
  <c r="N110" i="3" s="1"/>
  <c r="K111" i="3"/>
  <c r="N111" i="3" s="1"/>
  <c r="K112" i="3"/>
  <c r="N112" i="3" s="1"/>
  <c r="K113" i="3"/>
  <c r="N113" i="3" s="1"/>
  <c r="K114" i="3"/>
  <c r="N114" i="3" s="1"/>
  <c r="K115" i="3"/>
  <c r="N115" i="3" s="1"/>
  <c r="K116" i="3"/>
  <c r="N116" i="3" s="1"/>
  <c r="K117" i="3"/>
  <c r="N117" i="3" s="1"/>
  <c r="K118" i="3"/>
  <c r="N118" i="3" s="1"/>
  <c r="K119" i="3"/>
  <c r="N119" i="3" s="1"/>
  <c r="K120" i="3"/>
  <c r="K121" i="3"/>
  <c r="N121" i="3" s="1"/>
  <c r="K122" i="3"/>
  <c r="N122" i="3" s="1"/>
  <c r="K123" i="3"/>
  <c r="N123" i="3" s="1"/>
  <c r="K124" i="3"/>
  <c r="N124" i="3" s="1"/>
  <c r="K125" i="3"/>
  <c r="N125" i="3" s="1"/>
  <c r="K126" i="3"/>
  <c r="N126" i="3" s="1"/>
  <c r="K127" i="3"/>
  <c r="N127" i="3" s="1"/>
  <c r="K128" i="3"/>
  <c r="N128" i="3" s="1"/>
  <c r="K129" i="3"/>
  <c r="N129" i="3" s="1"/>
  <c r="K130" i="3"/>
  <c r="N130" i="3" s="1"/>
  <c r="K131" i="3"/>
  <c r="N131" i="3" s="1"/>
  <c r="K132" i="3"/>
  <c r="N132" i="3" s="1"/>
  <c r="K133" i="3"/>
  <c r="N133" i="3" s="1"/>
  <c r="K134" i="3"/>
  <c r="N134" i="3" s="1"/>
  <c r="K135" i="3"/>
  <c r="N135" i="3" s="1"/>
  <c r="K136" i="3"/>
  <c r="N136" i="3" s="1"/>
  <c r="K137" i="3"/>
  <c r="N137" i="3" s="1"/>
  <c r="K138" i="3"/>
  <c r="N138" i="3" s="1"/>
  <c r="K139" i="3"/>
  <c r="N139" i="3" s="1"/>
  <c r="K140" i="3"/>
  <c r="N140" i="3" s="1"/>
  <c r="K141" i="3"/>
  <c r="N141" i="3" s="1"/>
  <c r="K142" i="3"/>
  <c r="N142" i="3" s="1"/>
  <c r="K143" i="3"/>
  <c r="N143" i="3" s="1"/>
  <c r="K144" i="3"/>
  <c r="N144" i="3" s="1"/>
  <c r="K145" i="3"/>
  <c r="N145" i="3" s="1"/>
  <c r="K146" i="3"/>
  <c r="N146" i="3" s="1"/>
  <c r="K147" i="3"/>
  <c r="N147" i="3" s="1"/>
  <c r="K148" i="3"/>
  <c r="K149" i="3"/>
  <c r="N149" i="3" s="1"/>
  <c r="K150" i="3"/>
  <c r="N150" i="3" s="1"/>
  <c r="K151" i="3"/>
  <c r="N151" i="3" s="1"/>
  <c r="K152" i="3"/>
  <c r="K153" i="3"/>
  <c r="N153" i="3" s="1"/>
  <c r="K154" i="3"/>
  <c r="N154" i="3" s="1"/>
  <c r="K155" i="3"/>
  <c r="N155" i="3" s="1"/>
  <c r="K156" i="3"/>
  <c r="N156" i="3" s="1"/>
  <c r="K157" i="3"/>
  <c r="N157" i="3" s="1"/>
  <c r="K158" i="3"/>
  <c r="N158" i="3" s="1"/>
  <c r="K159" i="3"/>
  <c r="N159" i="3" s="1"/>
  <c r="K160" i="3"/>
  <c r="N160" i="3" s="1"/>
  <c r="K161" i="3"/>
  <c r="N161" i="3" s="1"/>
  <c r="K162" i="3"/>
  <c r="N162" i="3" s="1"/>
  <c r="K163" i="3"/>
  <c r="N163" i="3" s="1"/>
  <c r="K164" i="3"/>
  <c r="N164" i="3" s="1"/>
  <c r="K165" i="3"/>
  <c r="N165" i="3" s="1"/>
  <c r="K166" i="3"/>
  <c r="N166" i="3" s="1"/>
  <c r="K167" i="3"/>
  <c r="N167" i="3" s="1"/>
  <c r="K168" i="3"/>
  <c r="N168" i="3" s="1"/>
  <c r="K169" i="3"/>
  <c r="N169" i="3" s="1"/>
  <c r="K170" i="3"/>
  <c r="N170" i="3" s="1"/>
  <c r="K171" i="3"/>
  <c r="N171" i="3" s="1"/>
  <c r="K172" i="3"/>
  <c r="N172" i="3" s="1"/>
  <c r="K173" i="3"/>
  <c r="N173" i="3" s="1"/>
  <c r="K174" i="3"/>
  <c r="N174" i="3" s="1"/>
  <c r="K175" i="3"/>
  <c r="N175" i="3" s="1"/>
  <c r="K176" i="3"/>
  <c r="N176" i="3" s="1"/>
  <c r="K177" i="3"/>
  <c r="N177" i="3" s="1"/>
  <c r="K178" i="3"/>
  <c r="N178" i="3" s="1"/>
  <c r="K179" i="3"/>
  <c r="N179" i="3" s="1"/>
  <c r="K180" i="3"/>
  <c r="N180" i="3" s="1"/>
  <c r="K181" i="3"/>
  <c r="N181" i="3" s="1"/>
  <c r="K182" i="3"/>
  <c r="N182" i="3" s="1"/>
  <c r="K183" i="3"/>
  <c r="N183" i="3" s="1"/>
  <c r="K184" i="3"/>
  <c r="N184" i="3" s="1"/>
  <c r="K185" i="3"/>
  <c r="N185" i="3" s="1"/>
  <c r="K186" i="3"/>
  <c r="N186" i="3" s="1"/>
  <c r="K187" i="3"/>
  <c r="N187" i="3" s="1"/>
  <c r="K188" i="3"/>
  <c r="N188" i="3" s="1"/>
  <c r="K189" i="3"/>
  <c r="N189" i="3" s="1"/>
  <c r="K190" i="3"/>
  <c r="N190" i="3" s="1"/>
  <c r="K191" i="3"/>
  <c r="N191" i="3" s="1"/>
  <c r="K192" i="3"/>
  <c r="N192" i="3" s="1"/>
  <c r="K193" i="3"/>
  <c r="N193" i="3" s="1"/>
  <c r="K194" i="3"/>
  <c r="N194" i="3" s="1"/>
  <c r="K195" i="3"/>
  <c r="N195" i="3" s="1"/>
  <c r="K196" i="3"/>
  <c r="N196" i="3" s="1"/>
  <c r="K197" i="3"/>
  <c r="N197" i="3" s="1"/>
  <c r="K198" i="3"/>
  <c r="N198" i="3" s="1"/>
  <c r="K199" i="3"/>
  <c r="N199" i="3" s="1"/>
  <c r="K200" i="3"/>
  <c r="N200" i="3" s="1"/>
  <c r="K201" i="3"/>
  <c r="N201" i="3" s="1"/>
  <c r="K202" i="3"/>
  <c r="N202" i="3" s="1"/>
  <c r="K203" i="3"/>
  <c r="N203" i="3" s="1"/>
  <c r="K204" i="3"/>
  <c r="N204" i="3" s="1"/>
  <c r="K205" i="3"/>
  <c r="N205" i="3" s="1"/>
  <c r="K206" i="3"/>
  <c r="N206" i="3" s="1"/>
  <c r="K207" i="3"/>
  <c r="N207" i="3" s="1"/>
  <c r="K208" i="3"/>
  <c r="N208" i="3" s="1"/>
  <c r="K209" i="3"/>
  <c r="N209" i="3" s="1"/>
  <c r="K210" i="3"/>
  <c r="N210" i="3" s="1"/>
  <c r="K211" i="3"/>
  <c r="N211" i="3" s="1"/>
  <c r="K212" i="3"/>
  <c r="N212" i="3" s="1"/>
  <c r="K213" i="3"/>
  <c r="N213" i="3" s="1"/>
  <c r="K214" i="3"/>
  <c r="N214" i="3" s="1"/>
  <c r="K215" i="3"/>
  <c r="N215" i="3" s="1"/>
  <c r="K216" i="3"/>
  <c r="N216" i="3" s="1"/>
  <c r="K217" i="3"/>
  <c r="N217" i="3" s="1"/>
  <c r="K218" i="3"/>
  <c r="N218" i="3" s="1"/>
  <c r="K219" i="3"/>
  <c r="N219" i="3" s="1"/>
  <c r="K220" i="3"/>
  <c r="N220" i="3" s="1"/>
  <c r="K221" i="3"/>
  <c r="N221" i="3" s="1"/>
  <c r="K222" i="3"/>
  <c r="N222" i="3" s="1"/>
  <c r="K223" i="3"/>
  <c r="N223" i="3" s="1"/>
  <c r="K224" i="3"/>
  <c r="N224" i="3" s="1"/>
  <c r="K225" i="3"/>
  <c r="N225" i="3" s="1"/>
  <c r="K226" i="3"/>
  <c r="N226" i="3" s="1"/>
  <c r="K227" i="3"/>
  <c r="N227" i="3" s="1"/>
  <c r="K228" i="3"/>
  <c r="N228" i="3" s="1"/>
  <c r="K229" i="3"/>
  <c r="N229" i="3" s="1"/>
  <c r="K230" i="3"/>
  <c r="N230" i="3" s="1"/>
  <c r="K231" i="3"/>
  <c r="N231" i="3" s="1"/>
  <c r="K232" i="3"/>
  <c r="N232" i="3" s="1"/>
  <c r="K233" i="3"/>
  <c r="N233" i="3" s="1"/>
  <c r="K234" i="3"/>
  <c r="N234" i="3" s="1"/>
  <c r="K235" i="3"/>
  <c r="N235" i="3" s="1"/>
  <c r="K236" i="3"/>
  <c r="N236" i="3" s="1"/>
  <c r="K237" i="3"/>
  <c r="N237" i="3" s="1"/>
  <c r="K238" i="3"/>
  <c r="N238" i="3" s="1"/>
  <c r="K239" i="3"/>
  <c r="N239" i="3" s="1"/>
  <c r="K240" i="3"/>
  <c r="N240" i="3" s="1"/>
  <c r="K241" i="3"/>
  <c r="N241" i="3" s="1"/>
  <c r="K242" i="3"/>
  <c r="N242" i="3" s="1"/>
  <c r="K243" i="3"/>
  <c r="N243" i="3" s="1"/>
  <c r="K244" i="3"/>
  <c r="N244" i="3" s="1"/>
  <c r="K245" i="3"/>
  <c r="N245" i="3" s="1"/>
  <c r="K246" i="3"/>
  <c r="N246" i="3" s="1"/>
  <c r="K247" i="3"/>
  <c r="N247" i="3" s="1"/>
  <c r="K248" i="3"/>
  <c r="N248" i="3" s="1"/>
  <c r="K249" i="3"/>
  <c r="N249" i="3" s="1"/>
  <c r="K250" i="3"/>
  <c r="N250" i="3" s="1"/>
  <c r="K251" i="3"/>
  <c r="N251" i="3" s="1"/>
  <c r="K252" i="3"/>
  <c r="N252" i="3" s="1"/>
  <c r="K253" i="3"/>
  <c r="N253" i="3" s="1"/>
  <c r="K254" i="3"/>
  <c r="N254" i="3" s="1"/>
  <c r="K255" i="3"/>
  <c r="N255" i="3" s="1"/>
  <c r="K256" i="3"/>
  <c r="N256" i="3" s="1"/>
  <c r="K257" i="3"/>
  <c r="N257" i="3" s="1"/>
  <c r="K258" i="3"/>
  <c r="N258" i="3" s="1"/>
  <c r="K259" i="3"/>
  <c r="N259" i="3" s="1"/>
  <c r="K260" i="3"/>
  <c r="N260" i="3" s="1"/>
  <c r="K261" i="3"/>
  <c r="N261" i="3" s="1"/>
  <c r="K262" i="3"/>
  <c r="N262" i="3" s="1"/>
  <c r="K263" i="3"/>
  <c r="N263" i="3" s="1"/>
  <c r="K264" i="3"/>
  <c r="N264" i="3" s="1"/>
  <c r="K265" i="3"/>
  <c r="N265" i="3" s="1"/>
  <c r="K266" i="3"/>
  <c r="N266" i="3" s="1"/>
  <c r="K267" i="3"/>
  <c r="N267" i="3" s="1"/>
  <c r="K268" i="3"/>
  <c r="N268" i="3" s="1"/>
  <c r="K269" i="3"/>
  <c r="N269" i="3" s="1"/>
  <c r="K270" i="3"/>
  <c r="N270" i="3" s="1"/>
  <c r="K271" i="3"/>
  <c r="N271" i="3" s="1"/>
  <c r="K272" i="3"/>
  <c r="N272" i="3" s="1"/>
  <c r="K273" i="3"/>
  <c r="N273" i="3" s="1"/>
  <c r="K274" i="3"/>
  <c r="N274" i="3" s="1"/>
  <c r="K275" i="3"/>
  <c r="N275" i="3" s="1"/>
  <c r="K276" i="3"/>
  <c r="N276" i="3" s="1"/>
  <c r="K277" i="3"/>
  <c r="N277" i="3" s="1"/>
  <c r="K278" i="3"/>
  <c r="N278" i="3" s="1"/>
  <c r="K279" i="3"/>
  <c r="N279" i="3" s="1"/>
  <c r="K280" i="3"/>
  <c r="N280" i="3" s="1"/>
  <c r="K281" i="3"/>
  <c r="N281" i="3" s="1"/>
  <c r="K282" i="3"/>
  <c r="N282" i="3" s="1"/>
  <c r="K283" i="3"/>
  <c r="N283" i="3" s="1"/>
  <c r="K284" i="3"/>
  <c r="N284" i="3" s="1"/>
  <c r="K285" i="3"/>
  <c r="N285" i="3" s="1"/>
  <c r="K286" i="3"/>
  <c r="N286" i="3" s="1"/>
  <c r="K287" i="3"/>
  <c r="N287" i="3" s="1"/>
  <c r="K288" i="3"/>
  <c r="N288" i="3" s="1"/>
  <c r="K289" i="3"/>
  <c r="N289" i="3" s="1"/>
  <c r="K290" i="3"/>
  <c r="N290" i="3" s="1"/>
  <c r="K291" i="3"/>
  <c r="N291" i="3" s="1"/>
  <c r="K292" i="3"/>
  <c r="N292" i="3" s="1"/>
  <c r="K293" i="3"/>
  <c r="N293" i="3" s="1"/>
  <c r="K294" i="3"/>
  <c r="N294" i="3" s="1"/>
  <c r="K295" i="3"/>
  <c r="N295" i="3" s="1"/>
  <c r="K296" i="3"/>
  <c r="N296" i="3" s="1"/>
  <c r="K297" i="3"/>
  <c r="N297" i="3" s="1"/>
  <c r="K298" i="3"/>
  <c r="N298" i="3" s="1"/>
  <c r="K299" i="3"/>
  <c r="N299" i="3" s="1"/>
  <c r="K300" i="3"/>
  <c r="N300" i="3" s="1"/>
  <c r="K301" i="3"/>
  <c r="N301" i="3" s="1"/>
  <c r="K302" i="3"/>
  <c r="N302" i="3" s="1"/>
  <c r="K303" i="3"/>
  <c r="N303" i="3" s="1"/>
  <c r="K304" i="3"/>
  <c r="N304" i="3" s="1"/>
  <c r="K305" i="3"/>
  <c r="N305" i="3" s="1"/>
  <c r="K306" i="3"/>
  <c r="N306" i="3" s="1"/>
  <c r="K307" i="3"/>
  <c r="N307" i="3" s="1"/>
  <c r="F44" i="1"/>
  <c r="E44" i="1"/>
  <c r="E43" i="1"/>
  <c r="F43" i="1" s="1"/>
  <c r="E41" i="1"/>
  <c r="F41" i="1" s="1"/>
  <c r="E40" i="1"/>
  <c r="F40" i="1" s="1"/>
  <c r="E39" i="1"/>
  <c r="F39" i="1" s="1"/>
  <c r="E38" i="1"/>
  <c r="F38" i="1" s="1"/>
  <c r="F25" i="1"/>
  <c r="D25" i="1"/>
  <c r="E42" i="1" s="1"/>
  <c r="D18" i="8" l="1" a="1"/>
  <c r="D18" i="8" s="1"/>
  <c r="B19" i="8"/>
  <c r="C18" i="8" a="1"/>
  <c r="C18" i="8" s="1"/>
  <c r="E18" i="8" s="1"/>
  <c r="H18" i="8" s="1"/>
  <c r="G17" i="8"/>
  <c r="F18" i="8" s="1"/>
  <c r="C17" i="8" a="1"/>
  <c r="C17" i="8" s="1"/>
  <c r="E17" i="8" s="1"/>
  <c r="H17" i="8" s="1"/>
  <c r="Q91" i="7"/>
  <c r="H22" i="7" s="1" a="1"/>
  <c r="H22" i="7" s="1"/>
  <c r="I22" i="7" s="1"/>
  <c r="H21" i="7" a="1"/>
  <c r="H21" i="7" s="1"/>
  <c r="I21" i="7" s="1"/>
  <c r="F21" i="7"/>
  <c r="O67" i="7"/>
  <c r="L76" i="7"/>
  <c r="O104" i="7"/>
  <c r="O131" i="7"/>
  <c r="N157" i="7"/>
  <c r="O162" i="7"/>
  <c r="N167" i="7"/>
  <c r="O182" i="7"/>
  <c r="N199" i="7"/>
  <c r="N212" i="7"/>
  <c r="N42" i="7"/>
  <c r="O98" i="7"/>
  <c r="N99" i="7"/>
  <c r="N76" i="7"/>
  <c r="O31" i="7"/>
  <c r="O51" i="7"/>
  <c r="N58" i="7"/>
  <c r="O60" i="7"/>
  <c r="N61" i="7"/>
  <c r="O75" i="7"/>
  <c r="O116" i="7"/>
  <c r="O122" i="7"/>
  <c r="N123" i="7"/>
  <c r="N169" i="7"/>
  <c r="N175" i="7"/>
  <c r="O188" i="7"/>
  <c r="N233" i="7"/>
  <c r="N234" i="7"/>
  <c r="N239" i="7"/>
  <c r="O241" i="7"/>
  <c r="O271" i="7"/>
  <c r="N278" i="7"/>
  <c r="N283" i="7"/>
  <c r="N293" i="7"/>
  <c r="N300" i="7"/>
  <c r="O326" i="7"/>
  <c r="L279" i="7"/>
  <c r="L320" i="7"/>
  <c r="O195" i="7"/>
  <c r="O203" i="7"/>
  <c r="O205" i="7"/>
  <c r="K227" i="7"/>
  <c r="M227" i="7" s="1" a="1"/>
  <c r="M227" i="7" s="1"/>
  <c r="M237" i="7" a="1"/>
  <c r="M237" i="7" s="1"/>
  <c r="O262" i="7"/>
  <c r="O289" i="7"/>
  <c r="M307" i="7" a="1"/>
  <c r="M307" i="7" s="1"/>
  <c r="O308" i="7"/>
  <c r="N59" i="7"/>
  <c r="N103" i="7"/>
  <c r="M144" i="7" a="1"/>
  <c r="M144" i="7" s="1"/>
  <c r="N150" i="7"/>
  <c r="O168" i="7"/>
  <c r="O169" i="7"/>
  <c r="O171" i="7"/>
  <c r="N177" i="7"/>
  <c r="O184" i="7"/>
  <c r="K193" i="7"/>
  <c r="M193" i="7" s="1" a="1"/>
  <c r="M193" i="7" s="1"/>
  <c r="O199" i="7"/>
  <c r="N205" i="7"/>
  <c r="O223" i="7"/>
  <c r="O227" i="7"/>
  <c r="O249" i="7"/>
  <c r="N250" i="7"/>
  <c r="O252" i="7"/>
  <c r="N254" i="7"/>
  <c r="O261" i="7"/>
  <c r="N264" i="7"/>
  <c r="O270" i="7"/>
  <c r="O275" i="7"/>
  <c r="O286" i="7"/>
  <c r="O293" i="7"/>
  <c r="N301" i="7"/>
  <c r="L299" i="7"/>
  <c r="O56" i="7"/>
  <c r="O27" i="7"/>
  <c r="O35" i="7"/>
  <c r="N81" i="7"/>
  <c r="N89" i="7"/>
  <c r="O147" i="7"/>
  <c r="O40" i="7"/>
  <c r="O80" i="7"/>
  <c r="N57" i="7"/>
  <c r="O71" i="7"/>
  <c r="N100" i="7"/>
  <c r="N107" i="7"/>
  <c r="O115" i="7"/>
  <c r="N117" i="7"/>
  <c r="O139" i="7"/>
  <c r="K139" i="7"/>
  <c r="O143" i="7"/>
  <c r="L161" i="7"/>
  <c r="N170" i="7"/>
  <c r="N178" i="7"/>
  <c r="N115" i="7"/>
  <c r="K129" i="7"/>
  <c r="M129" i="7" s="1" a="1"/>
  <c r="M129" i="7" s="1"/>
  <c r="L129" i="7"/>
  <c r="O129" i="7"/>
  <c r="N27" i="7"/>
  <c r="N38" i="7"/>
  <c r="N41" i="7"/>
  <c r="O44" i="7"/>
  <c r="O47" i="7"/>
  <c r="N51" i="7"/>
  <c r="N83" i="7"/>
  <c r="N92" i="7"/>
  <c r="O99" i="7"/>
  <c r="O109" i="7"/>
  <c r="O112" i="7"/>
  <c r="N125" i="7"/>
  <c r="N132" i="7"/>
  <c r="N141" i="7"/>
  <c r="N142" i="7"/>
  <c r="O153" i="7"/>
  <c r="O88" i="7"/>
  <c r="O89" i="7"/>
  <c r="O91" i="7"/>
  <c r="O107" i="7"/>
  <c r="N114" i="7"/>
  <c r="N129" i="7"/>
  <c r="O136" i="7"/>
  <c r="N139" i="7"/>
  <c r="O140" i="7"/>
  <c r="N143" i="7"/>
  <c r="O155" i="7"/>
  <c r="O160" i="7"/>
  <c r="N173" i="7"/>
  <c r="O177" i="7"/>
  <c r="K177" i="7"/>
  <c r="N180" i="7"/>
  <c r="N185" i="7"/>
  <c r="O200" i="7"/>
  <c r="O175" i="7"/>
  <c r="K185" i="7"/>
  <c r="O167" i="7"/>
  <c r="O174" i="7"/>
  <c r="M299" i="7" a="1"/>
  <c r="M299" i="7" s="1"/>
  <c r="N302" i="7"/>
  <c r="L291" i="7"/>
  <c r="O208" i="7"/>
  <c r="N210" i="7"/>
  <c r="O216" i="7"/>
  <c r="N223" i="7"/>
  <c r="O225" i="7"/>
  <c r="N230" i="7"/>
  <c r="O245" i="7"/>
  <c r="K245" i="7"/>
  <c r="M245" i="7" s="1" a="1"/>
  <c r="M245" i="7" s="1"/>
  <c r="N270" i="7"/>
  <c r="O272" i="7"/>
  <c r="L272" i="7"/>
  <c r="O292" i="7"/>
  <c r="O299" i="7"/>
  <c r="O304" i="7"/>
  <c r="O314" i="7"/>
  <c r="O320" i="7"/>
  <c r="N325" i="7"/>
  <c r="O190" i="7"/>
  <c r="N197" i="7"/>
  <c r="O212" i="7"/>
  <c r="N218" i="7"/>
  <c r="N225" i="7"/>
  <c r="N226" i="7"/>
  <c r="O238" i="7"/>
  <c r="N242" i="7"/>
  <c r="L249" i="7"/>
  <c r="O255" i="7"/>
  <c r="M256" i="7" a="1"/>
  <c r="M256" i="7" s="1"/>
  <c r="N286" i="7"/>
  <c r="N288" i="7"/>
  <c r="N292" i="7"/>
  <c r="N297" i="7"/>
  <c r="O303" i="7"/>
  <c r="N310" i="7"/>
  <c r="L225" i="7"/>
  <c r="L311" i="7"/>
  <c r="N192" i="7"/>
  <c r="N194" i="7"/>
  <c r="N214" i="7"/>
  <c r="N215" i="7"/>
  <c r="L241" i="7"/>
  <c r="N245" i="7"/>
  <c r="N285" i="7"/>
  <c r="N298" i="7"/>
  <c r="N304" i="7"/>
  <c r="N313" i="7"/>
  <c r="N320" i="7"/>
  <c r="K36" i="7"/>
  <c r="M36" i="7" s="1" a="1"/>
  <c r="M36" i="7" s="1"/>
  <c r="O36" i="7"/>
  <c r="K68" i="7"/>
  <c r="M68" i="7" s="1" a="1"/>
  <c r="M68" i="7" s="1"/>
  <c r="O68" i="7"/>
  <c r="K150" i="7"/>
  <c r="L150" i="7"/>
  <c r="K157" i="7"/>
  <c r="M157" i="7" s="1" a="1"/>
  <c r="M157" i="7" s="1"/>
  <c r="L157" i="7"/>
  <c r="N34" i="7"/>
  <c r="L53" i="7"/>
  <c r="O59" i="7"/>
  <c r="N66" i="7"/>
  <c r="K141" i="7"/>
  <c r="M141" i="7" s="1" a="1"/>
  <c r="M141" i="7" s="1"/>
  <c r="L141" i="7"/>
  <c r="L37" i="7"/>
  <c r="O43" i="7"/>
  <c r="K27" i="7"/>
  <c r="M27" i="7" s="1" a="1"/>
  <c r="M27" i="7" s="1"/>
  <c r="K97" i="7"/>
  <c r="M97" i="7" s="1" a="1"/>
  <c r="M97" i="7" s="1"/>
  <c r="O97" i="7"/>
  <c r="L97" i="7"/>
  <c r="L105" i="7"/>
  <c r="K105" i="7"/>
  <c r="M105" i="7" s="1" a="1"/>
  <c r="M105" i="7" s="1"/>
  <c r="O121" i="7"/>
  <c r="L45" i="7"/>
  <c r="O28" i="7"/>
  <c r="N39" i="7"/>
  <c r="N55" i="7"/>
  <c r="N75" i="7"/>
  <c r="L77" i="7"/>
  <c r="K133" i="7"/>
  <c r="M133" i="7" s="1" a="1"/>
  <c r="M133" i="7" s="1"/>
  <c r="L133" i="7"/>
  <c r="N29" i="7"/>
  <c r="N30" i="7"/>
  <c r="N31" i="7"/>
  <c r="O32" i="7"/>
  <c r="N35" i="7"/>
  <c r="N45" i="7"/>
  <c r="N62" i="7"/>
  <c r="N63" i="7"/>
  <c r="O64" i="7"/>
  <c r="N67" i="7"/>
  <c r="N69" i="7"/>
  <c r="O77" i="7"/>
  <c r="O81" i="7"/>
  <c r="N87" i="7"/>
  <c r="O96" i="7"/>
  <c r="N101" i="7"/>
  <c r="O105" i="7"/>
  <c r="N106" i="7"/>
  <c r="L109" i="7"/>
  <c r="N113" i="7"/>
  <c r="N121" i="7"/>
  <c r="N122" i="7"/>
  <c r="O123" i="7"/>
  <c r="O141" i="7"/>
  <c r="O144" i="7"/>
  <c r="N145" i="7"/>
  <c r="O146" i="7"/>
  <c r="K147" i="7"/>
  <c r="N153" i="7"/>
  <c r="N162" i="7"/>
  <c r="O164" i="7"/>
  <c r="N174" i="7"/>
  <c r="N191" i="7"/>
  <c r="N193" i="7"/>
  <c r="N201" i="7"/>
  <c r="N206" i="7"/>
  <c r="N207" i="7"/>
  <c r="O211" i="7"/>
  <c r="O217" i="7"/>
  <c r="L218" i="7"/>
  <c r="K218" i="7"/>
  <c r="O265" i="7"/>
  <c r="K165" i="7"/>
  <c r="M165" i="7" s="1" a="1"/>
  <c r="M165" i="7" s="1"/>
  <c r="L165" i="7"/>
  <c r="L209" i="7"/>
  <c r="K211" i="7"/>
  <c r="M211" i="7" s="1" a="1"/>
  <c r="M211" i="7" s="1"/>
  <c r="N33" i="7"/>
  <c r="N37" i="7"/>
  <c r="O39" i="7"/>
  <c r="N46" i="7"/>
  <c r="N47" i="7"/>
  <c r="O48" i="7"/>
  <c r="N53" i="7"/>
  <c r="O55" i="7"/>
  <c r="L61" i="7"/>
  <c r="N65" i="7"/>
  <c r="N70" i="7"/>
  <c r="N71" i="7"/>
  <c r="O72" i="7"/>
  <c r="N77" i="7"/>
  <c r="N78" i="7"/>
  <c r="N84" i="7"/>
  <c r="N85" i="7"/>
  <c r="O90" i="7"/>
  <c r="N91" i="7"/>
  <c r="N94" i="7"/>
  <c r="N95" i="7"/>
  <c r="N98" i="7"/>
  <c r="L101" i="7"/>
  <c r="O113" i="7"/>
  <c r="L116" i="7"/>
  <c r="O120" i="7"/>
  <c r="O128" i="7"/>
  <c r="O130" i="7"/>
  <c r="N131" i="7"/>
  <c r="N133" i="7"/>
  <c r="N137" i="7"/>
  <c r="N138" i="7"/>
  <c r="L144" i="7"/>
  <c r="N146" i="7"/>
  <c r="N151" i="7"/>
  <c r="O154" i="7"/>
  <c r="N154" i="7"/>
  <c r="N165" i="7"/>
  <c r="O172" i="7"/>
  <c r="N176" i="7"/>
  <c r="N183" i="7"/>
  <c r="N186" i="7"/>
  <c r="N196" i="7"/>
  <c r="N202" i="7"/>
  <c r="K224" i="7"/>
  <c r="M224" i="7" s="1" a="1"/>
  <c r="M224" i="7" s="1"/>
  <c r="L224" i="7"/>
  <c r="N248" i="7"/>
  <c r="K264" i="7"/>
  <c r="M264" i="7" s="1" a="1"/>
  <c r="M264" i="7" s="1"/>
  <c r="L264" i="7"/>
  <c r="L69" i="7"/>
  <c r="N73" i="7"/>
  <c r="N74" i="7"/>
  <c r="N82" i="7"/>
  <c r="N90" i="7"/>
  <c r="O92" i="7"/>
  <c r="N93" i="7"/>
  <c r="N108" i="7"/>
  <c r="N109" i="7"/>
  <c r="N110" i="7"/>
  <c r="N116" i="7"/>
  <c r="N118" i="7"/>
  <c r="N119" i="7"/>
  <c r="N124" i="7"/>
  <c r="N126" i="7"/>
  <c r="N127" i="7"/>
  <c r="N130" i="7"/>
  <c r="O145" i="7"/>
  <c r="N149" i="7"/>
  <c r="N155" i="7"/>
  <c r="O158" i="7"/>
  <c r="N158" i="7"/>
  <c r="N181" i="7"/>
  <c r="O201" i="7"/>
  <c r="L202" i="7"/>
  <c r="K202" i="7"/>
  <c r="K228" i="7"/>
  <c r="M228" i="7" s="1" a="1"/>
  <c r="M228" i="7" s="1"/>
  <c r="L228" i="7"/>
  <c r="K248" i="7"/>
  <c r="M248" i="7" s="1" a="1"/>
  <c r="M248" i="7" s="1"/>
  <c r="L248" i="7"/>
  <c r="N135" i="7"/>
  <c r="O137" i="7"/>
  <c r="N147" i="7"/>
  <c r="N159" i="7"/>
  <c r="N166" i="7"/>
  <c r="O173" i="7"/>
  <c r="O183" i="7"/>
  <c r="O209" i="7"/>
  <c r="O221" i="7"/>
  <c r="N222" i="7"/>
  <c r="O264" i="7"/>
  <c r="O268" i="7"/>
  <c r="K278" i="7"/>
  <c r="L278" i="7"/>
  <c r="O206" i="7"/>
  <c r="K208" i="7"/>
  <c r="M208" i="7" s="1" a="1"/>
  <c r="M208" i="7" s="1"/>
  <c r="L208" i="7"/>
  <c r="N217" i="7"/>
  <c r="N221" i="7"/>
  <c r="O224" i="7"/>
  <c r="N228" i="7"/>
  <c r="N240" i="7"/>
  <c r="O247" i="7"/>
  <c r="O253" i="7"/>
  <c r="K253" i="7"/>
  <c r="M253" i="7" s="1" a="1"/>
  <c r="M253" i="7" s="1"/>
  <c r="N256" i="7"/>
  <c r="L84" i="7"/>
  <c r="L307" i="7"/>
  <c r="L119" i="7"/>
  <c r="O189" i="7"/>
  <c r="N190" i="7"/>
  <c r="O191" i="7"/>
  <c r="N203" i="7"/>
  <c r="O207" i="7"/>
  <c r="N213" i="7"/>
  <c r="O228" i="7"/>
  <c r="N229" i="7"/>
  <c r="N235" i="7"/>
  <c r="O239" i="7"/>
  <c r="N246" i="7"/>
  <c r="O257" i="7"/>
  <c r="N258" i="7"/>
  <c r="N265" i="7"/>
  <c r="O266" i="7"/>
  <c r="O287" i="7"/>
  <c r="L108" i="7"/>
  <c r="M281" i="7" a="1"/>
  <c r="M281" i="7" s="1"/>
  <c r="L323" i="7"/>
  <c r="N231" i="7"/>
  <c r="O232" i="7"/>
  <c r="O233" i="7"/>
  <c r="N237" i="7"/>
  <c r="N238" i="7"/>
  <c r="N253" i="7"/>
  <c r="N255" i="7"/>
  <c r="N257" i="7"/>
  <c r="N275" i="7"/>
  <c r="O278" i="7"/>
  <c r="L87" i="7"/>
  <c r="L257" i="7"/>
  <c r="O267" i="7"/>
  <c r="O276" i="7"/>
  <c r="N277" i="7"/>
  <c r="N281" i="7"/>
  <c r="O307" i="7"/>
  <c r="N317" i="7"/>
  <c r="O323" i="7"/>
  <c r="N326" i="7"/>
  <c r="L95" i="7"/>
  <c r="L102" i="7"/>
  <c r="L127" i="7"/>
  <c r="L134" i="7"/>
  <c r="O284" i="7"/>
  <c r="O295" i="7"/>
  <c r="O297" i="7"/>
  <c r="O301" i="7"/>
  <c r="N306" i="7"/>
  <c r="O317" i="7"/>
  <c r="O318" i="7"/>
  <c r="L78" i="7"/>
  <c r="L92" i="7"/>
  <c r="L103" i="7"/>
  <c r="L110" i="7"/>
  <c r="L124" i="7"/>
  <c r="L135" i="7"/>
  <c r="L194" i="7"/>
  <c r="L268" i="7"/>
  <c r="O273" i="7"/>
  <c r="O279" i="7"/>
  <c r="O280" i="7"/>
  <c r="O283" i="7"/>
  <c r="N290" i="7"/>
  <c r="O291" i="7"/>
  <c r="N294" i="7"/>
  <c r="O309" i="7"/>
  <c r="O311" i="7"/>
  <c r="O313" i="7"/>
  <c r="O319" i="7"/>
  <c r="N321" i="7"/>
  <c r="L86" i="7"/>
  <c r="L118" i="7"/>
  <c r="M140" i="7" a="1"/>
  <c r="M140" i="7" s="1"/>
  <c r="M143" i="7" a="1"/>
  <c r="M143" i="7" s="1"/>
  <c r="M151" i="7" a="1"/>
  <c r="M151" i="7" s="1"/>
  <c r="M273" i="7" a="1"/>
  <c r="M273" i="7" s="1"/>
  <c r="M276" i="7" a="1"/>
  <c r="M276" i="7" s="1"/>
  <c r="M52" i="7" a="1"/>
  <c r="M52" i="7" s="1"/>
  <c r="M28" i="7" a="1"/>
  <c r="M28" i="7" s="1"/>
  <c r="M60" i="7" a="1"/>
  <c r="M60" i="7" s="1"/>
  <c r="M295" i="7" a="1"/>
  <c r="M295" i="7" s="1"/>
  <c r="L295" i="7"/>
  <c r="L287" i="7"/>
  <c r="M287" i="7" a="1"/>
  <c r="M287" i="7" s="1"/>
  <c r="M29" i="7" a="1"/>
  <c r="M29" i="7" s="1"/>
  <c r="L29" i="7"/>
  <c r="L210" i="7"/>
  <c r="L276" i="7"/>
  <c r="M323" i="7" a="1"/>
  <c r="M323" i="7" s="1"/>
  <c r="M116" i="7" a="1"/>
  <c r="M116" i="7" s="1"/>
  <c r="M135" i="7" a="1"/>
  <c r="M135" i="7" s="1"/>
  <c r="M79" i="7" a="1"/>
  <c r="M79" i="7" s="1"/>
  <c r="M92" i="7" a="1"/>
  <c r="M92" i="7" s="1"/>
  <c r="M108" i="7" a="1"/>
  <c r="M108" i="7" s="1"/>
  <c r="L140" i="7"/>
  <c r="L226" i="7"/>
  <c r="M271" i="7" a="1"/>
  <c r="M271" i="7" s="1"/>
  <c r="M76" i="7" a="1"/>
  <c r="M76" i="7" s="1"/>
  <c r="M100" i="7" a="1"/>
  <c r="M100" i="7" s="1"/>
  <c r="M111" i="7" a="1"/>
  <c r="M111" i="7" s="1"/>
  <c r="M124" i="7" a="1"/>
  <c r="M124" i="7" s="1"/>
  <c r="L27" i="7"/>
  <c r="L30" i="7"/>
  <c r="K30" i="7"/>
  <c r="O30" i="7"/>
  <c r="L31" i="7"/>
  <c r="M31" i="7" a="1"/>
  <c r="M31" i="7" s="1"/>
  <c r="K33" i="7"/>
  <c r="M33" i="7" s="1" a="1"/>
  <c r="M33" i="7" s="1"/>
  <c r="O33" i="7"/>
  <c r="M88" i="7" a="1"/>
  <c r="M88" i="7" s="1"/>
  <c r="L88" i="7"/>
  <c r="M128" i="7" a="1"/>
  <c r="M128" i="7" s="1"/>
  <c r="L128" i="7"/>
  <c r="L38" i="7"/>
  <c r="K38" i="7"/>
  <c r="O38" i="7"/>
  <c r="L39" i="7"/>
  <c r="M39" i="7" a="1"/>
  <c r="M39" i="7" s="1"/>
  <c r="K41" i="7"/>
  <c r="M41" i="7" s="1" a="1"/>
  <c r="M41" i="7" s="1"/>
  <c r="O41" i="7"/>
  <c r="M96" i="7" a="1"/>
  <c r="M96" i="7" s="1"/>
  <c r="L96" i="7"/>
  <c r="M152" i="7" a="1"/>
  <c r="M152" i="7" s="1"/>
  <c r="L152" i="7"/>
  <c r="L155" i="7"/>
  <c r="M155" i="7" a="1"/>
  <c r="M155" i="7" s="1"/>
  <c r="M104" i="7" a="1"/>
  <c r="M104" i="7" s="1"/>
  <c r="L104" i="7"/>
  <c r="L32" i="7"/>
  <c r="M32" i="7" a="1"/>
  <c r="M32" i="7" s="1"/>
  <c r="L40" i="7"/>
  <c r="M40" i="7" a="1"/>
  <c r="M40" i="7" s="1"/>
  <c r="L48" i="7"/>
  <c r="M48" i="7" a="1"/>
  <c r="M48" i="7" s="1"/>
  <c r="L56" i="7"/>
  <c r="M56" i="7" a="1"/>
  <c r="M56" i="7" s="1"/>
  <c r="L64" i="7"/>
  <c r="M64" i="7" a="1"/>
  <c r="M64" i="7" s="1"/>
  <c r="L72" i="7"/>
  <c r="M72" i="7" a="1"/>
  <c r="M72" i="7" s="1"/>
  <c r="L138" i="7"/>
  <c r="K138" i="7"/>
  <c r="L46" i="7"/>
  <c r="K46" i="7"/>
  <c r="O46" i="7"/>
  <c r="L47" i="7"/>
  <c r="M47" i="7" a="1"/>
  <c r="M47" i="7" s="1"/>
  <c r="K49" i="7"/>
  <c r="M49" i="7" s="1" a="1"/>
  <c r="M49" i="7" s="1"/>
  <c r="O49" i="7"/>
  <c r="L54" i="7"/>
  <c r="K54" i="7"/>
  <c r="O54" i="7"/>
  <c r="L55" i="7"/>
  <c r="M55" i="7" a="1"/>
  <c r="M55" i="7" s="1"/>
  <c r="K57" i="7"/>
  <c r="M57" i="7" s="1" a="1"/>
  <c r="M57" i="7" s="1"/>
  <c r="O57" i="7"/>
  <c r="L62" i="7"/>
  <c r="K62" i="7"/>
  <c r="O62" i="7"/>
  <c r="L63" i="7"/>
  <c r="M63" i="7" a="1"/>
  <c r="M63" i="7" s="1"/>
  <c r="K65" i="7"/>
  <c r="M65" i="7" s="1" a="1"/>
  <c r="M65" i="7" s="1"/>
  <c r="O65" i="7"/>
  <c r="L70" i="7"/>
  <c r="K70" i="7"/>
  <c r="O70" i="7"/>
  <c r="L71" i="7"/>
  <c r="M71" i="7" a="1"/>
  <c r="M71" i="7" s="1"/>
  <c r="K73" i="7"/>
  <c r="M73" i="7" s="1" a="1"/>
  <c r="M73" i="7" s="1"/>
  <c r="O73" i="7"/>
  <c r="M120" i="7" a="1"/>
  <c r="M120" i="7" s="1"/>
  <c r="L120" i="7"/>
  <c r="M136" i="7" a="1"/>
  <c r="M136" i="7" s="1"/>
  <c r="L136" i="7"/>
  <c r="L163" i="7"/>
  <c r="M163" i="7" a="1"/>
  <c r="M163" i="7" s="1"/>
  <c r="M166" i="7" a="1"/>
  <c r="M166" i="7" s="1"/>
  <c r="L166" i="7"/>
  <c r="M174" i="7" a="1"/>
  <c r="M174" i="7" s="1"/>
  <c r="L174" i="7"/>
  <c r="L179" i="7"/>
  <c r="M179" i="7" a="1"/>
  <c r="M179" i="7" s="1"/>
  <c r="O34" i="7"/>
  <c r="L35" i="7"/>
  <c r="M35" i="7" a="1"/>
  <c r="M35" i="7" s="1"/>
  <c r="O42" i="7"/>
  <c r="L43" i="7"/>
  <c r="M43" i="7" a="1"/>
  <c r="M43" i="7" s="1"/>
  <c r="O50" i="7"/>
  <c r="L51" i="7"/>
  <c r="M51" i="7" a="1"/>
  <c r="M51" i="7" s="1"/>
  <c r="O58" i="7"/>
  <c r="L59" i="7"/>
  <c r="M59" i="7" a="1"/>
  <c r="M59" i="7" s="1"/>
  <c r="O66" i="7"/>
  <c r="L67" i="7"/>
  <c r="M67" i="7" a="1"/>
  <c r="M67" i="7" s="1"/>
  <c r="K142" i="7"/>
  <c r="L142" i="7"/>
  <c r="M145" i="7" a="1"/>
  <c r="M145" i="7" s="1"/>
  <c r="L145" i="7"/>
  <c r="M146" i="7" a="1"/>
  <c r="M146" i="7" s="1"/>
  <c r="L146" i="7"/>
  <c r="M147" i="7" a="1"/>
  <c r="M147" i="7" s="1"/>
  <c r="O148" i="7"/>
  <c r="L148" i="7"/>
  <c r="M149" i="7" a="1"/>
  <c r="M149" i="7" s="1"/>
  <c r="M154" i="7" a="1"/>
  <c r="M154" i="7" s="1"/>
  <c r="L154" i="7"/>
  <c r="L159" i="7"/>
  <c r="M159" i="7" a="1"/>
  <c r="M159" i="7" s="1"/>
  <c r="L168" i="7"/>
  <c r="M168" i="7" a="1"/>
  <c r="M168" i="7" s="1"/>
  <c r="O197" i="7"/>
  <c r="M200" i="7" a="1"/>
  <c r="M200" i="7" s="1"/>
  <c r="L200" i="7"/>
  <c r="L223" i="7"/>
  <c r="M223" i="7" a="1"/>
  <c r="M223" i="7" s="1"/>
  <c r="L33" i="7"/>
  <c r="L41" i="7"/>
  <c r="L49" i="7"/>
  <c r="L57" i="7"/>
  <c r="L65" i="7"/>
  <c r="L73" i="7"/>
  <c r="O74" i="7"/>
  <c r="L75" i="7"/>
  <c r="M75" i="7" a="1"/>
  <c r="M75" i="7" s="1"/>
  <c r="M80" i="7" a="1"/>
  <c r="M80" i="7" s="1"/>
  <c r="L80" i="7"/>
  <c r="M82" i="7" a="1"/>
  <c r="M82" i="7" s="1"/>
  <c r="L82" i="7"/>
  <c r="O94" i="7"/>
  <c r="K94" i="7"/>
  <c r="O138" i="7"/>
  <c r="L175" i="7"/>
  <c r="M175" i="7" a="1"/>
  <c r="M175" i="7" s="1"/>
  <c r="O178" i="7"/>
  <c r="L115" i="7"/>
  <c r="M115" i="7" a="1"/>
  <c r="M115" i="7" s="1"/>
  <c r="M122" i="7" a="1"/>
  <c r="M122" i="7" s="1"/>
  <c r="L122" i="7"/>
  <c r="O134" i="7"/>
  <c r="K134" i="7"/>
  <c r="M134" i="7" s="1" a="1"/>
  <c r="M134" i="7" s="1"/>
  <c r="L28" i="7"/>
  <c r="O29" i="7"/>
  <c r="L44" i="7"/>
  <c r="O53" i="7"/>
  <c r="L60" i="7"/>
  <c r="O61" i="7"/>
  <c r="O69" i="7"/>
  <c r="O78" i="7"/>
  <c r="K78" i="7"/>
  <c r="L81" i="7"/>
  <c r="M87" i="7" a="1"/>
  <c r="M87" i="7" s="1"/>
  <c r="O93" i="7"/>
  <c r="L93" i="7"/>
  <c r="O100" i="7"/>
  <c r="O110" i="7"/>
  <c r="K110" i="7"/>
  <c r="M110" i="7" s="1" a="1"/>
  <c r="M110" i="7" s="1"/>
  <c r="M119" i="7" a="1"/>
  <c r="M119" i="7" s="1"/>
  <c r="O125" i="7"/>
  <c r="L125" i="7"/>
  <c r="K170" i="7"/>
  <c r="M170" i="7" s="1" a="1"/>
  <c r="M170" i="7" s="1"/>
  <c r="O170" i="7"/>
  <c r="O181" i="7"/>
  <c r="L184" i="7"/>
  <c r="M184" i="7" a="1"/>
  <c r="M184" i="7" s="1"/>
  <c r="L188" i="7"/>
  <c r="M188" i="7" a="1"/>
  <c r="M188" i="7" s="1"/>
  <c r="L204" i="7"/>
  <c r="M204" i="7" a="1"/>
  <c r="M204" i="7" s="1"/>
  <c r="M206" i="7" a="1"/>
  <c r="M206" i="7" s="1"/>
  <c r="L206" i="7"/>
  <c r="L220" i="7"/>
  <c r="M220" i="7" a="1"/>
  <c r="M220" i="7" s="1"/>
  <c r="O106" i="7"/>
  <c r="L107" i="7"/>
  <c r="M107" i="7" a="1"/>
  <c r="M107" i="7" s="1"/>
  <c r="M112" i="7" a="1"/>
  <c r="M112" i="7" s="1"/>
  <c r="L112" i="7"/>
  <c r="M114" i="7" a="1"/>
  <c r="M114" i="7" s="1"/>
  <c r="L114" i="7"/>
  <c r="O126" i="7"/>
  <c r="K126" i="7"/>
  <c r="M126" i="7" s="1" a="1"/>
  <c r="M126" i="7" s="1"/>
  <c r="O82" i="7"/>
  <c r="L83" i="7"/>
  <c r="M83" i="7" a="1"/>
  <c r="M83" i="7" s="1"/>
  <c r="O85" i="7"/>
  <c r="L85" i="7"/>
  <c r="M90" i="7" a="1"/>
  <c r="M90" i="7" s="1"/>
  <c r="L90" i="7"/>
  <c r="O102" i="7"/>
  <c r="K102" i="7"/>
  <c r="O114" i="7"/>
  <c r="O117" i="7"/>
  <c r="L117" i="7"/>
  <c r="L36" i="7"/>
  <c r="O37" i="7"/>
  <c r="O45" i="7"/>
  <c r="L52" i="7"/>
  <c r="L68" i="7"/>
  <c r="L91" i="7"/>
  <c r="M91" i="7" a="1"/>
  <c r="M91" i="7" s="1"/>
  <c r="M98" i="7" a="1"/>
  <c r="M98" i="7" s="1"/>
  <c r="L98" i="7"/>
  <c r="L113" i="7"/>
  <c r="L123" i="7"/>
  <c r="M123" i="7" a="1"/>
  <c r="M123" i="7" s="1"/>
  <c r="M130" i="7" a="1"/>
  <c r="M130" i="7" s="1"/>
  <c r="L130" i="7"/>
  <c r="O132" i="7"/>
  <c r="M148" i="7" a="1"/>
  <c r="M148" i="7" s="1"/>
  <c r="L153" i="7"/>
  <c r="L164" i="7"/>
  <c r="M164" i="7" a="1"/>
  <c r="M164" i="7" s="1"/>
  <c r="N28" i="7"/>
  <c r="N32" i="7"/>
  <c r="M34" i="7" a="1"/>
  <c r="M34" i="7" s="1"/>
  <c r="L34" i="7"/>
  <c r="N36" i="7"/>
  <c r="N40" i="7"/>
  <c r="M42" i="7" a="1"/>
  <c r="M42" i="7" s="1"/>
  <c r="L42" i="7"/>
  <c r="N44" i="7"/>
  <c r="N48" i="7"/>
  <c r="M50" i="7" a="1"/>
  <c r="M50" i="7" s="1"/>
  <c r="L50" i="7"/>
  <c r="N52" i="7"/>
  <c r="N56" i="7"/>
  <c r="M58" i="7" a="1"/>
  <c r="M58" i="7" s="1"/>
  <c r="L58" i="7"/>
  <c r="N60" i="7"/>
  <c r="N64" i="7"/>
  <c r="M66" i="7" a="1"/>
  <c r="M66" i="7" s="1"/>
  <c r="L66" i="7"/>
  <c r="N68" i="7"/>
  <c r="N72" i="7"/>
  <c r="M74" i="7" a="1"/>
  <c r="M74" i="7" s="1"/>
  <c r="L74" i="7"/>
  <c r="O76" i="7"/>
  <c r="L79" i="7"/>
  <c r="N79" i="7"/>
  <c r="O86" i="7"/>
  <c r="K86" i="7"/>
  <c r="M86" i="7" s="1" a="1"/>
  <c r="M86" i="7" s="1"/>
  <c r="L89" i="7"/>
  <c r="L94" i="7"/>
  <c r="M95" i="7" a="1"/>
  <c r="M95" i="7" s="1"/>
  <c r="L99" i="7"/>
  <c r="M99" i="7" a="1"/>
  <c r="M99" i="7" s="1"/>
  <c r="L100" i="7"/>
  <c r="O101" i="7"/>
  <c r="M106" i="7" a="1"/>
  <c r="M106" i="7" s="1"/>
  <c r="L106" i="7"/>
  <c r="O108" i="7"/>
  <c r="L111" i="7"/>
  <c r="N111" i="7"/>
  <c r="O118" i="7"/>
  <c r="K118" i="7"/>
  <c r="M118" i="7" s="1" a="1"/>
  <c r="M118" i="7" s="1"/>
  <c r="L121" i="7"/>
  <c r="L126" i="7"/>
  <c r="M127" i="7" a="1"/>
  <c r="M127" i="7" s="1"/>
  <c r="L131" i="7"/>
  <c r="M131" i="7" a="1"/>
  <c r="M131" i="7" s="1"/>
  <c r="L132" i="7"/>
  <c r="O133" i="7"/>
  <c r="M156" i="7" a="1"/>
  <c r="M156" i="7" s="1"/>
  <c r="M160" i="7" a="1"/>
  <c r="M160" i="7" s="1"/>
  <c r="L160" i="7"/>
  <c r="M161" i="7" a="1"/>
  <c r="M161" i="7" s="1"/>
  <c r="N164" i="7"/>
  <c r="L172" i="7"/>
  <c r="M172" i="7" a="1"/>
  <c r="M172" i="7" s="1"/>
  <c r="M177" i="7" a="1"/>
  <c r="M177" i="7" s="1"/>
  <c r="L178" i="7"/>
  <c r="M190" i="7" a="1"/>
  <c r="M190" i="7" s="1"/>
  <c r="L190" i="7"/>
  <c r="L191" i="7"/>
  <c r="M191" i="7" a="1"/>
  <c r="M191" i="7" s="1"/>
  <c r="O194" i="7"/>
  <c r="L195" i="7"/>
  <c r="M195" i="7" a="1"/>
  <c r="M195" i="7" s="1"/>
  <c r="L203" i="7"/>
  <c r="M203" i="7" a="1"/>
  <c r="M203" i="7" s="1"/>
  <c r="M30" i="7" a="1"/>
  <c r="M30" i="7" s="1"/>
  <c r="M38" i="7" a="1"/>
  <c r="M38" i="7" s="1"/>
  <c r="M46" i="7" a="1"/>
  <c r="M46" i="7" s="1"/>
  <c r="M54" i="7" a="1"/>
  <c r="M54" i="7" s="1"/>
  <c r="M62" i="7" a="1"/>
  <c r="M62" i="7" s="1"/>
  <c r="M70" i="7" a="1"/>
  <c r="M70" i="7" s="1"/>
  <c r="M78" i="7" a="1"/>
  <c r="M78" i="7" s="1"/>
  <c r="M94" i="7" a="1"/>
  <c r="M94" i="7" s="1"/>
  <c r="M102" i="7" a="1"/>
  <c r="M102" i="7" s="1"/>
  <c r="M137" i="7" a="1"/>
  <c r="M137" i="7" s="1"/>
  <c r="L137" i="7"/>
  <c r="N140" i="7"/>
  <c r="M142" i="7" a="1"/>
  <c r="M142" i="7" s="1"/>
  <c r="O142" i="7"/>
  <c r="L143" i="7"/>
  <c r="O149" i="7"/>
  <c r="L149" i="7"/>
  <c r="O156" i="7"/>
  <c r="L156" i="7"/>
  <c r="O159" i="7"/>
  <c r="L162" i="7"/>
  <c r="O165" i="7"/>
  <c r="O166" i="7"/>
  <c r="L167" i="7"/>
  <c r="M167" i="7" a="1"/>
  <c r="M167" i="7" s="1"/>
  <c r="L171" i="7"/>
  <c r="N172" i="7"/>
  <c r="L180" i="7"/>
  <c r="M180" i="7" a="1"/>
  <c r="M180" i="7" s="1"/>
  <c r="O180" i="7"/>
  <c r="M185" i="7" a="1"/>
  <c r="M185" i="7" s="1"/>
  <c r="L186" i="7"/>
  <c r="O187" i="7"/>
  <c r="N188" i="7"/>
  <c r="L196" i="7"/>
  <c r="M196" i="7" a="1"/>
  <c r="M196" i="7" s="1"/>
  <c r="O196" i="7"/>
  <c r="L201" i="7"/>
  <c r="M209" i="7" a="1"/>
  <c r="M209" i="7" s="1"/>
  <c r="O214" i="7"/>
  <c r="M216" i="7" a="1"/>
  <c r="M216" i="7" s="1"/>
  <c r="L216" i="7"/>
  <c r="O218" i="7"/>
  <c r="L219" i="7"/>
  <c r="M219" i="7" a="1"/>
  <c r="M219" i="7" s="1"/>
  <c r="M222" i="7" a="1"/>
  <c r="M222" i="7" s="1"/>
  <c r="L222" i="7"/>
  <c r="M225" i="7" a="1"/>
  <c r="M225" i="7" s="1"/>
  <c r="L234" i="7"/>
  <c r="K234" i="7"/>
  <c r="M234" i="7" s="1" a="1"/>
  <c r="M234" i="7" s="1"/>
  <c r="L254" i="7"/>
  <c r="O79" i="7"/>
  <c r="N80" i="7"/>
  <c r="O87" i="7"/>
  <c r="N88" i="7"/>
  <c r="O95" i="7"/>
  <c r="N96" i="7"/>
  <c r="O103" i="7"/>
  <c r="N104" i="7"/>
  <c r="O111" i="7"/>
  <c r="N112" i="7"/>
  <c r="O119" i="7"/>
  <c r="N120" i="7"/>
  <c r="O127" i="7"/>
  <c r="N128" i="7"/>
  <c r="O135" i="7"/>
  <c r="N136" i="7"/>
  <c r="M138" i="7" a="1"/>
  <c r="M138" i="7" s="1"/>
  <c r="M139" i="7" a="1"/>
  <c r="M139" i="7" s="1"/>
  <c r="N148" i="7"/>
  <c r="M150" i="7" a="1"/>
  <c r="M150" i="7" s="1"/>
  <c r="O150" i="7"/>
  <c r="L151" i="7"/>
  <c r="O157" i="7"/>
  <c r="O163" i="7"/>
  <c r="N168" i="7"/>
  <c r="L176" i="7"/>
  <c r="O176" i="7"/>
  <c r="M182" i="7" a="1"/>
  <c r="M182" i="7" s="1"/>
  <c r="L182" i="7"/>
  <c r="N182" i="7"/>
  <c r="L183" i="7"/>
  <c r="M183" i="7" a="1"/>
  <c r="M183" i="7" s="1"/>
  <c r="N184" i="7"/>
  <c r="O186" i="7"/>
  <c r="L187" i="7"/>
  <c r="L192" i="7"/>
  <c r="O192" i="7"/>
  <c r="M198" i="7" a="1"/>
  <c r="M198" i="7" s="1"/>
  <c r="L198" i="7"/>
  <c r="N198" i="7"/>
  <c r="L199" i="7"/>
  <c r="M199" i="7" a="1"/>
  <c r="M199" i="7" s="1"/>
  <c r="L213" i="7"/>
  <c r="M232" i="7" a="1"/>
  <c r="M232" i="7" s="1"/>
  <c r="L232" i="7"/>
  <c r="L233" i="7"/>
  <c r="L236" i="7"/>
  <c r="M236" i="7" a="1"/>
  <c r="M236" i="7" s="1"/>
  <c r="M238" i="7" a="1"/>
  <c r="M238" i="7" s="1"/>
  <c r="L238" i="7"/>
  <c r="K260" i="7"/>
  <c r="M260" i="7" s="1" a="1"/>
  <c r="M260" i="7" s="1"/>
  <c r="O260" i="7"/>
  <c r="L207" i="7"/>
  <c r="M207" i="7" a="1"/>
  <c r="M207" i="7" s="1"/>
  <c r="K210" i="7"/>
  <c r="M210" i="7" s="1" a="1"/>
  <c r="M210" i="7" s="1"/>
  <c r="O210" i="7"/>
  <c r="K217" i="7"/>
  <c r="O226" i="7"/>
  <c r="K226" i="7"/>
  <c r="M226" i="7" s="1" a="1"/>
  <c r="M226" i="7" s="1"/>
  <c r="K233" i="7"/>
  <c r="M233" i="7" s="1" a="1"/>
  <c r="M233" i="7" s="1"/>
  <c r="L235" i="7"/>
  <c r="M235" i="7" a="1"/>
  <c r="M235" i="7" s="1"/>
  <c r="O240" i="7"/>
  <c r="K244" i="7"/>
  <c r="M244" i="7" s="1" a="1"/>
  <c r="M244" i="7" s="1"/>
  <c r="O244" i="7"/>
  <c r="L252" i="7"/>
  <c r="M252" i="7" a="1"/>
  <c r="M252" i="7" s="1"/>
  <c r="K269" i="7"/>
  <c r="M269" i="7" s="1" a="1"/>
  <c r="M269" i="7" s="1"/>
  <c r="O269" i="7"/>
  <c r="N144" i="7"/>
  <c r="N152" i="7"/>
  <c r="N160" i="7"/>
  <c r="N163" i="7"/>
  <c r="N171" i="7"/>
  <c r="N179" i="7"/>
  <c r="N187" i="7"/>
  <c r="N195" i="7"/>
  <c r="N204" i="7"/>
  <c r="N211" i="7"/>
  <c r="L212" i="7"/>
  <c r="M214" i="7" a="1"/>
  <c r="M214" i="7" s="1"/>
  <c r="L214" i="7"/>
  <c r="L215" i="7"/>
  <c r="M215" i="7" a="1"/>
  <c r="M215" i="7" s="1"/>
  <c r="M217" i="7" a="1"/>
  <c r="M217" i="7" s="1"/>
  <c r="O220" i="7"/>
  <c r="L221" i="7"/>
  <c r="O222" i="7"/>
  <c r="O229" i="7"/>
  <c r="O231" i="7"/>
  <c r="N236" i="7"/>
  <c r="K250" i="7"/>
  <c r="M250" i="7" s="1" a="1"/>
  <c r="M250" i="7" s="1"/>
  <c r="O250" i="7"/>
  <c r="L251" i="7"/>
  <c r="M251" i="7" a="1"/>
  <c r="M251" i="7" s="1"/>
  <c r="N252" i="7"/>
  <c r="K254" i="7"/>
  <c r="M254" i="7" s="1" a="1"/>
  <c r="M254" i="7" s="1"/>
  <c r="O254" i="7"/>
  <c r="N273" i="7"/>
  <c r="M277" i="7" a="1"/>
  <c r="M277" i="7" s="1"/>
  <c r="L277" i="7"/>
  <c r="L229" i="7"/>
  <c r="O230" i="7"/>
  <c r="O237" i="7"/>
  <c r="L240" i="7"/>
  <c r="L244" i="7"/>
  <c r="L246" i="7"/>
  <c r="O248" i="7"/>
  <c r="L256" i="7"/>
  <c r="L260" i="7"/>
  <c r="L263" i="7"/>
  <c r="M263" i="7" a="1"/>
  <c r="M263" i="7" s="1"/>
  <c r="M270" i="7" a="1"/>
  <c r="M270" i="7" s="1"/>
  <c r="L270" i="7"/>
  <c r="L285" i="7"/>
  <c r="L173" i="7"/>
  <c r="L181" i="7"/>
  <c r="L189" i="7"/>
  <c r="L197" i="7"/>
  <c r="M201" i="7" a="1"/>
  <c r="M201" i="7" s="1"/>
  <c r="O204" i="7"/>
  <c r="L205" i="7"/>
  <c r="O213" i="7"/>
  <c r="O215" i="7"/>
  <c r="N220" i="7"/>
  <c r="N227" i="7"/>
  <c r="M230" i="7" a="1"/>
  <c r="M230" i="7" s="1"/>
  <c r="L230" i="7"/>
  <c r="L231" i="7"/>
  <c r="M231" i="7" a="1"/>
  <c r="M231" i="7" s="1"/>
  <c r="O236" i="7"/>
  <c r="L237" i="7"/>
  <c r="K242" i="7"/>
  <c r="M242" i="7" s="1" a="1"/>
  <c r="M242" i="7" s="1"/>
  <c r="O242" i="7"/>
  <c r="L243" i="7"/>
  <c r="M243" i="7" a="1"/>
  <c r="M243" i="7" s="1"/>
  <c r="N244" i="7"/>
  <c r="K246" i="7"/>
  <c r="M246" i="7" s="1" a="1"/>
  <c r="M246" i="7" s="1"/>
  <c r="O246" i="7"/>
  <c r="K258" i="7"/>
  <c r="M258" i="7" s="1" a="1"/>
  <c r="M258" i="7" s="1"/>
  <c r="O258" i="7"/>
  <c r="L259" i="7"/>
  <c r="M259" i="7" a="1"/>
  <c r="M259" i="7" s="1"/>
  <c r="N260" i="7"/>
  <c r="N269" i="7"/>
  <c r="M284" i="7" a="1"/>
  <c r="M284" i="7" s="1"/>
  <c r="L284" i="7"/>
  <c r="O285" i="7"/>
  <c r="L286" i="7"/>
  <c r="M286" i="7" a="1"/>
  <c r="M286" i="7" s="1"/>
  <c r="K288" i="7"/>
  <c r="O288" i="7"/>
  <c r="K296" i="7"/>
  <c r="M296" i="7" s="1" a="1"/>
  <c r="M296" i="7" s="1"/>
  <c r="O296" i="7"/>
  <c r="L298" i="7"/>
  <c r="M298" i="7" a="1"/>
  <c r="M298" i="7" s="1"/>
  <c r="M317" i="7" a="1"/>
  <c r="M317" i="7" s="1"/>
  <c r="L317" i="7"/>
  <c r="L319" i="7"/>
  <c r="M319" i="7" a="1"/>
  <c r="M319" i="7" s="1"/>
  <c r="N208" i="7"/>
  <c r="N216" i="7"/>
  <c r="N224" i="7"/>
  <c r="N232" i="7"/>
  <c r="L239" i="7"/>
  <c r="M239" i="7" a="1"/>
  <c r="M239" i="7" s="1"/>
  <c r="O243" i="7"/>
  <c r="L247" i="7"/>
  <c r="M247" i="7" a="1"/>
  <c r="M247" i="7" s="1"/>
  <c r="O251" i="7"/>
  <c r="L255" i="7"/>
  <c r="M255" i="7" a="1"/>
  <c r="M255" i="7" s="1"/>
  <c r="O259" i="7"/>
  <c r="O263" i="7"/>
  <c r="M266" i="7" a="1"/>
  <c r="M266" i="7" s="1"/>
  <c r="L266" i="7"/>
  <c r="N266" i="7"/>
  <c r="N267" i="7"/>
  <c r="M274" i="7" a="1"/>
  <c r="M274" i="7" s="1"/>
  <c r="L274" i="7"/>
  <c r="N274" i="7"/>
  <c r="L283" i="7"/>
  <c r="M283" i="7" a="1"/>
  <c r="M283" i="7" s="1"/>
  <c r="N200" i="7"/>
  <c r="M162" i="7" a="1"/>
  <c r="M162" i="7" s="1"/>
  <c r="M178" i="7" a="1"/>
  <c r="M178" i="7" s="1"/>
  <c r="M186" i="7" a="1"/>
  <c r="M186" i="7" s="1"/>
  <c r="M194" i="7" a="1"/>
  <c r="M194" i="7" s="1"/>
  <c r="M202" i="7" a="1"/>
  <c r="M202" i="7" s="1"/>
  <c r="M218" i="7" a="1"/>
  <c r="M218" i="7" s="1"/>
  <c r="N243" i="7"/>
  <c r="N251" i="7"/>
  <c r="N259" i="7"/>
  <c r="M262" i="7" a="1"/>
  <c r="M262" i="7" s="1"/>
  <c r="L262" i="7"/>
  <c r="N262" i="7"/>
  <c r="N263" i="7"/>
  <c r="L267" i="7"/>
  <c r="M267" i="7" a="1"/>
  <c r="M267" i="7" s="1"/>
  <c r="L271" i="7"/>
  <c r="L275" i="7"/>
  <c r="M275" i="7" a="1"/>
  <c r="M275" i="7" s="1"/>
  <c r="O277" i="7"/>
  <c r="M279" i="7" a="1"/>
  <c r="M279" i="7" s="1"/>
  <c r="M280" i="7" a="1"/>
  <c r="M280" i="7" s="1"/>
  <c r="L280" i="7"/>
  <c r="O282" i="7"/>
  <c r="K300" i="7"/>
  <c r="M300" i="7" s="1" a="1"/>
  <c r="M300" i="7" s="1"/>
  <c r="O300" i="7"/>
  <c r="K316" i="7"/>
  <c r="M316" i="7" s="1" a="1"/>
  <c r="M316" i="7" s="1"/>
  <c r="L316" i="7"/>
  <c r="M261" i="7" a="1"/>
  <c r="M261" i="7" s="1"/>
  <c r="L261" i="7"/>
  <c r="M265" i="7" a="1"/>
  <c r="M265" i="7" s="1"/>
  <c r="L265" i="7"/>
  <c r="L269" i="7"/>
  <c r="N271" i="7"/>
  <c r="N272" i="7"/>
  <c r="O274" i="7"/>
  <c r="O281" i="7"/>
  <c r="M282" i="7" a="1"/>
  <c r="M282" i="7" s="1"/>
  <c r="L282" i="7"/>
  <c r="M285" i="7" a="1"/>
  <c r="M285" i="7" s="1"/>
  <c r="L303" i="7"/>
  <c r="M303" i="7" a="1"/>
  <c r="M303" i="7" s="1"/>
  <c r="N276" i="7"/>
  <c r="N284" i="7"/>
  <c r="L294" i="7"/>
  <c r="M294" i="7" a="1"/>
  <c r="M294" i="7" s="1"/>
  <c r="M309" i="7" a="1"/>
  <c r="M309" i="7" s="1"/>
  <c r="L309" i="7"/>
  <c r="O316" i="7"/>
  <c r="L273" i="7"/>
  <c r="M278" i="7" a="1"/>
  <c r="M278" i="7" s="1"/>
  <c r="L281" i="7"/>
  <c r="L290" i="7"/>
  <c r="M290" i="7" a="1"/>
  <c r="M290" i="7" s="1"/>
  <c r="M310" i="7" a="1"/>
  <c r="M310" i="7" s="1"/>
  <c r="L310" i="7"/>
  <c r="L315" i="7"/>
  <c r="M315" i="7" a="1"/>
  <c r="M315" i="7" s="1"/>
  <c r="N280" i="7"/>
  <c r="M302" i="7" a="1"/>
  <c r="M302" i="7" s="1"/>
  <c r="L302" i="7"/>
  <c r="M305" i="7" a="1"/>
  <c r="M305" i="7" s="1"/>
  <c r="L305" i="7"/>
  <c r="K312" i="7"/>
  <c r="M312" i="7" s="1" a="1"/>
  <c r="M312" i="7" s="1"/>
  <c r="L312" i="7"/>
  <c r="N287" i="7"/>
  <c r="M289" i="7" a="1"/>
  <c r="M289" i="7" s="1"/>
  <c r="L289" i="7"/>
  <c r="N291" i="7"/>
  <c r="M293" i="7" a="1"/>
  <c r="M293" i="7" s="1"/>
  <c r="L293" i="7"/>
  <c r="N295" i="7"/>
  <c r="M297" i="7" a="1"/>
  <c r="M297" i="7" s="1"/>
  <c r="L297" i="7"/>
  <c r="N299" i="7"/>
  <c r="M301" i="7" a="1"/>
  <c r="M301" i="7" s="1"/>
  <c r="L301" i="7"/>
  <c r="K304" i="7"/>
  <c r="M304" i="7" s="1" a="1"/>
  <c r="M304" i="7" s="1"/>
  <c r="L304" i="7"/>
  <c r="O305" i="7"/>
  <c r="N308" i="7"/>
  <c r="M311" i="7" a="1"/>
  <c r="M311" i="7" s="1"/>
  <c r="K324" i="7"/>
  <c r="M324" i="7" s="1" a="1"/>
  <c r="M324" i="7" s="1"/>
  <c r="L324" i="7"/>
  <c r="M326" i="7" a="1"/>
  <c r="M326" i="7" s="1"/>
  <c r="L326" i="7"/>
  <c r="M288" i="7" a="1"/>
  <c r="M288" i="7" s="1"/>
  <c r="L288" i="7"/>
  <c r="O290" i="7"/>
  <c r="M292" i="7" a="1"/>
  <c r="M292" i="7" s="1"/>
  <c r="L292" i="7"/>
  <c r="O294" i="7"/>
  <c r="L296" i="7"/>
  <c r="O298" i="7"/>
  <c r="L300" i="7"/>
  <c r="O302" i="7"/>
  <c r="M306" i="7" a="1"/>
  <c r="M306" i="7" s="1"/>
  <c r="L306" i="7"/>
  <c r="K308" i="7"/>
  <c r="M308" i="7" s="1" a="1"/>
  <c r="M308" i="7" s="1"/>
  <c r="L308" i="7"/>
  <c r="N312" i="7"/>
  <c r="O324" i="7"/>
  <c r="N303" i="7"/>
  <c r="N307" i="7"/>
  <c r="N311" i="7"/>
  <c r="M313" i="7" a="1"/>
  <c r="M313" i="7" s="1"/>
  <c r="L313" i="7"/>
  <c r="M314" i="7" a="1"/>
  <c r="M314" i="7" s="1"/>
  <c r="L314" i="7"/>
  <c r="N314" i="7"/>
  <c r="O315" i="7"/>
  <c r="M318" i="7" a="1"/>
  <c r="M318" i="7" s="1"/>
  <c r="L318" i="7"/>
  <c r="N318" i="7"/>
  <c r="M321" i="7" a="1"/>
  <c r="M321" i="7" s="1"/>
  <c r="O322" i="7"/>
  <c r="O325" i="7"/>
  <c r="O306" i="7"/>
  <c r="O310" i="7"/>
  <c r="N315" i="7"/>
  <c r="N316" i="7"/>
  <c r="O321" i="7"/>
  <c r="L321" i="7"/>
  <c r="M322" i="7" a="1"/>
  <c r="M322" i="7" s="1"/>
  <c r="L322" i="7"/>
  <c r="N322" i="7"/>
  <c r="N323" i="7"/>
  <c r="N324" i="7"/>
  <c r="M325" i="7" a="1"/>
  <c r="M325" i="7" s="1"/>
  <c r="L325" i="7"/>
  <c r="D13" i="6" a="1"/>
  <c r="D13" i="6" s="1"/>
  <c r="C9" i="6" a="1"/>
  <c r="C9" i="6" s="1"/>
  <c r="E10" i="6" a="1"/>
  <c r="E10" i="6" s="1"/>
  <c r="E17" i="6" s="1"/>
  <c r="C11" i="6" a="1"/>
  <c r="C11" i="6" s="1"/>
  <c r="E12" i="6" a="1"/>
  <c r="E12" i="6" s="1"/>
  <c r="C13" i="6" a="1"/>
  <c r="C13" i="6" s="1"/>
  <c r="E14" i="6" a="1"/>
  <c r="E14" i="6" s="1"/>
  <c r="C15" i="6" a="1"/>
  <c r="C15" i="6" s="1"/>
  <c r="E16" i="6" a="1"/>
  <c r="E16" i="6" s="1"/>
  <c r="D15" i="6" a="1"/>
  <c r="D15" i="6" s="1"/>
  <c r="C10" i="6" a="1"/>
  <c r="C10" i="6" s="1"/>
  <c r="E11" i="6" a="1"/>
  <c r="E11" i="6" s="1"/>
  <c r="C12" i="6" a="1"/>
  <c r="C12" i="6" s="1"/>
  <c r="E13" i="6" a="1"/>
  <c r="E13" i="6" s="1"/>
  <c r="C14" i="6" a="1"/>
  <c r="C14" i="6" s="1"/>
  <c r="I14" i="6" s="1"/>
  <c r="J14" i="6" s="1"/>
  <c r="E15" i="6" a="1"/>
  <c r="E15" i="6" s="1"/>
  <c r="C16" i="6" a="1"/>
  <c r="C16" i="6" s="1"/>
  <c r="D10" i="6" a="1"/>
  <c r="D10" i="6" s="1"/>
  <c r="D17" i="6" s="1"/>
  <c r="H17" i="6"/>
  <c r="D12" i="6" a="1"/>
  <c r="D12" i="6" s="1"/>
  <c r="D14" i="6" a="1"/>
  <c r="D14" i="6" s="1"/>
  <c r="F22" i="6" a="1"/>
  <c r="F22" i="6" s="1"/>
  <c r="I10" i="6"/>
  <c r="J10" i="6" s="1"/>
  <c r="I12" i="6"/>
  <c r="J12" i="6" s="1"/>
  <c r="I16" i="6"/>
  <c r="J16" i="6" s="1"/>
  <c r="N120" i="3"/>
  <c r="N148" i="3"/>
  <c r="N152" i="3"/>
  <c r="E37" i="1"/>
  <c r="F37" i="1" s="1"/>
  <c r="F42" i="1"/>
  <c r="D19" i="8" l="1" a="1"/>
  <c r="D19" i="8" s="1"/>
  <c r="B20" i="8"/>
  <c r="C19" i="8" a="1"/>
  <c r="C19" i="8" s="1"/>
  <c r="E19" i="8" s="1"/>
  <c r="H19" i="8" s="1"/>
  <c r="G18" i="8"/>
  <c r="F19" i="8" s="1"/>
  <c r="G19" i="8" s="1"/>
  <c r="F20" i="8" s="1"/>
  <c r="F22" i="7"/>
  <c r="H19" i="7" a="1"/>
  <c r="H19" i="7" s="1"/>
  <c r="F19" i="7"/>
  <c r="H20" i="7" a="1"/>
  <c r="H20" i="7" s="1"/>
  <c r="H17" i="7" a="1"/>
  <c r="H17" i="7" s="1"/>
  <c r="F20" i="7"/>
  <c r="K22" i="7"/>
  <c r="H18" i="7" a="1"/>
  <c r="H18" i="7" s="1"/>
  <c r="F18" i="7"/>
  <c r="F17" i="7"/>
  <c r="I15" i="6"/>
  <c r="J15" i="6" s="1"/>
  <c r="G17" i="6"/>
  <c r="F24" i="6"/>
  <c r="I9" i="6"/>
  <c r="C17" i="6"/>
  <c r="I11" i="6"/>
  <c r="J11" i="6" s="1"/>
  <c r="F17" i="6"/>
  <c r="G23" i="6" s="1"/>
  <c r="H23" i="6" s="1"/>
  <c r="I13" i="6"/>
  <c r="J13" i="6" s="1"/>
  <c r="B21" i="8" l="1"/>
  <c r="C20" i="8" a="1"/>
  <c r="C20" i="8" s="1"/>
  <c r="D20" i="8" a="1"/>
  <c r="D20" i="8" s="1"/>
  <c r="K21" i="7"/>
  <c r="I17" i="6"/>
  <c r="F25" i="6"/>
  <c r="J9" i="6"/>
  <c r="H24" i="6"/>
  <c r="G22" i="6"/>
  <c r="H22" i="6" s="1"/>
  <c r="E20" i="8" l="1"/>
  <c r="B22" i="8"/>
  <c r="C21" i="8" a="1"/>
  <c r="C21" i="8" s="1"/>
  <c r="D21" i="8" a="1"/>
  <c r="D21" i="8" s="1"/>
  <c r="J17" i="6"/>
  <c r="G25" i="6"/>
  <c r="H25" i="6" s="1"/>
  <c r="E21" i="8" l="1"/>
  <c r="H21" i="8" s="1"/>
  <c r="C22" i="8" a="1"/>
  <c r="C22" i="8" s="1"/>
  <c r="E22" i="8" s="1"/>
  <c r="H22" i="8" s="1"/>
  <c r="D22" i="8" a="1"/>
  <c r="D22" i="8" s="1"/>
  <c r="H20" i="8"/>
  <c r="G20" i="8"/>
  <c r="F21" i="8" s="1"/>
  <c r="G21" i="8" s="1"/>
  <c r="F22" i="8" s="1"/>
  <c r="G22"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D20" authorId="0" shapeId="0" xr:uid="{3CC45077-F3E3-41D2-8C75-5AE1A28F21F9}">
      <text>
        <r>
          <rPr>
            <b/>
            <sz val="9"/>
            <color indexed="81"/>
            <rFont val="Tahoma"/>
            <charset val="1"/>
          </rPr>
          <t>HP:</t>
        </r>
        <r>
          <rPr>
            <sz val="9"/>
            <color indexed="81"/>
            <rFont val="Tahoma"/>
            <charset val="1"/>
          </rPr>
          <t xml:space="preserve">
Source: Ghana Revenue Authority — VAT tax-type page (reforms under the Value Added Tax Act, 2025 (Act 1151), effective 1 January 2026), https://gra.gov.gh/domestic-tax/tax-types/vat/</t>
        </r>
      </text>
    </comment>
    <comment ref="D21" authorId="0" shapeId="0" xr:uid="{5FF9F8AC-6A74-4539-A3A1-9083B5FCB495}">
      <text>
        <r>
          <rPr>
            <b/>
            <sz val="9"/>
            <color indexed="81"/>
            <rFont val="Tahoma"/>
            <charset val="1"/>
          </rPr>
          <t>HP:</t>
        </r>
        <r>
          <rPr>
            <sz val="9"/>
            <color indexed="81"/>
            <rFont val="Tahoma"/>
            <charset val="1"/>
          </rPr>
          <t xml:space="preserve">
Source: Ghana Revenue Authority — VAT tax-type page, confirming NHIL of 2.5% charged on the same base as VAT from 1 January 2026, https://gra.gov.gh/domestic-tax/tax-types/vat/</t>
        </r>
      </text>
    </comment>
    <comment ref="D22" authorId="0" shapeId="0" xr:uid="{AA00F311-0FF6-4205-BD45-74C98DA25929}">
      <text>
        <r>
          <rPr>
            <b/>
            <sz val="9"/>
            <color indexed="81"/>
            <rFont val="Tahoma"/>
            <charset val="1"/>
          </rPr>
          <t>HP:</t>
        </r>
        <r>
          <rPr>
            <sz val="9"/>
            <color indexed="81"/>
            <rFont val="Tahoma"/>
            <charset val="1"/>
          </rPr>
          <t xml:space="preserve">
Source: Ghana Revenue Authority — VAT tax-type page, confirming GETFund Levy of 2.5% charged on the same base as VAT from 1 January 2026, https://gra.gov.gh/domestic-tax/tax-types/vat/</t>
        </r>
      </text>
    </comment>
    <comment ref="D23" authorId="0" shapeId="0" xr:uid="{08832FA0-234E-48ED-90E1-7F56CD91A2EF}">
      <text>
        <r>
          <rPr>
            <b/>
            <sz val="9"/>
            <color indexed="81"/>
            <rFont val="Tahoma"/>
            <charset val="1"/>
          </rPr>
          <t>Source: COVID-19 Health Recovery Levy Repeal Act, 2025, assented to by the President on 10 December 2025, abolishing the 1% levy imposed by Act 1068 with effect from January 2026. Office of the President, https://presidency.gov.gh/covid-19-health-recovery-levy-abolished/ ; see also GRA VAT tax-type guidance, https://gra.gov.gh/domestic-tax/tax-types/vat/</t>
        </r>
      </text>
    </comment>
    <comment ref="D24" authorId="0" shapeId="0" xr:uid="{B20AB053-79D7-4EC1-A5CE-9957D97820E6}">
      <text>
        <r>
          <rPr>
            <b/>
            <sz val="9"/>
            <color indexed="81"/>
            <rFont val="Tahoma"/>
            <charset val="1"/>
          </rPr>
          <t>HP:</t>
        </r>
        <r>
          <rPr>
            <sz val="9"/>
            <color indexed="81"/>
            <rFont val="Tahoma"/>
            <charset val="1"/>
          </rPr>
          <t xml:space="preserve">
Source: Ghana Revenue Authority — VAT tax-type page, describing the pre-2026 stack of COVID-19, NHIL and GETFund levies totalling 6% applied before VAT, https://gra.gov.gh/domestic-tax/tax-types/vat/</t>
        </r>
      </text>
    </comment>
    <comment ref="D27" authorId="0" shapeId="0" xr:uid="{41E81DAF-C5AC-4348-A9FB-F571D0731F40}">
      <text>
        <r>
          <rPr>
            <b/>
            <sz val="9"/>
            <color indexed="81"/>
            <rFont val="Tahoma"/>
            <charset val="1"/>
          </rPr>
          <t>Source: Ghana Revenue Authority — Notice to all VAT-registered taxpayers on the Value Added Tax Act, 2025 (Act 1151), raising the registration threshold for businesses dealing in goods to GH¢750,000 with effect from 1 January 2026, https://gra.gov.gh/news/portfolio/notice-to-all-vat-registered-taxpayers/</t>
        </r>
      </text>
    </comment>
    <comment ref="D28" authorId="0" shapeId="0" xr:uid="{6955DA1B-390F-4071-BDED-665E7440A472}">
      <text>
        <r>
          <rPr>
            <b/>
            <sz val="9"/>
            <color indexed="81"/>
            <rFont val="Tahoma"/>
            <charset val="1"/>
          </rPr>
          <t>Source: Ghana Revenue Authority — Notice to all VAT-registered taxpayers on the Value Added Tax Act, 2025 (Act 1151). No turnover threshold is applied to this company: it registers on commencing taxable services. https://gra.gov.gh/news/portfolio/notice-to-all-vat-registered-taxpayers/</t>
        </r>
      </text>
    </comment>
    <comment ref="D29" authorId="0" shapeId="0" xr:uid="{2BF47025-AA0B-44EA-98D9-EA501276353E}">
      <text>
        <r>
          <rPr>
            <b/>
            <sz val="9"/>
            <color indexed="81"/>
            <rFont val="Tahoma"/>
            <charset val="1"/>
          </rPr>
          <t>HP:</t>
        </r>
        <r>
          <rPr>
            <sz val="9"/>
            <color indexed="81"/>
            <rFont val="Tahoma"/>
            <charset val="1"/>
          </rPr>
          <t xml:space="preserve">
Source: Ghana Revenue Authority — VAT Withholding page: appointed agents withhold 7% of the taxable output value on standard-rated supplies, https://gra.gov.gh/domestic-tax/tax-types/vat-withholding/</t>
        </r>
      </text>
    </comment>
    <comment ref="D30" authorId="0" shapeId="0" xr:uid="{E64F4B88-F41F-419A-8928-873D1BA55578}">
      <text>
        <r>
          <rPr>
            <b/>
            <sz val="9"/>
            <color indexed="81"/>
            <rFont val="Tahoma"/>
            <charset val="1"/>
          </rPr>
          <t>HP:</t>
        </r>
        <r>
          <rPr>
            <sz val="9"/>
            <color indexed="81"/>
            <rFont val="Tahoma"/>
            <charset val="1"/>
          </rPr>
          <t xml:space="preserve">
Source: Income Tax Act, 2015 (Act 896), First Schedule — resident withholding rate of 3% on the supply of goods, as confirmed by the Ministry of Finance in a UK-Ghana Chamber of Commerce / PwC Ghana briefing, https://ukgcc.com.gh/ministry-of-finance-requested-to-consider-increasing-the-withholding-tax-threshold-on-supply-of-goods-services-and-works/</t>
        </r>
      </text>
    </comment>
    <comment ref="D31" authorId="0" shapeId="0" xr:uid="{5C2A8F9F-B584-4591-A4D4-4705E8E199D5}">
      <text>
        <r>
          <rPr>
            <b/>
            <sz val="9"/>
            <color indexed="81"/>
            <rFont val="Tahoma"/>
            <charset val="1"/>
          </rPr>
          <t>HP:</t>
        </r>
        <r>
          <rPr>
            <sz val="9"/>
            <color indexed="81"/>
            <rFont val="Tahoma"/>
            <charset val="1"/>
          </rPr>
          <t xml:space="preserve">
Source: Income Tax Act, 2015 (Act 896), First Schedule — resident withholding rate of 7.5% on service fees, as confirmed by the Ministry of Finance in a UK-Ghana Chamber of Commerce / PwC Ghana briefing, https://ukgcc.com.gh/ministry-of-finance-requested-to-consider-increasing-the-withholding-tax-threshold-on-supply-of-goods-services-and-works/</t>
        </r>
      </text>
    </comment>
    <comment ref="D32" authorId="0" shapeId="0" xr:uid="{8A972EDA-B097-413F-83B6-29C409351BA7}">
      <text>
        <r>
          <rPr>
            <b/>
            <sz val="9"/>
            <color indexed="81"/>
            <rFont val="Tahoma"/>
            <charset val="1"/>
          </rPr>
          <t>HP:</t>
        </r>
        <r>
          <rPr>
            <sz val="9"/>
            <color indexed="81"/>
            <rFont val="Tahoma"/>
            <charset val="1"/>
          </rPr>
          <t xml:space="preserve">
Source: Income Tax Act, 2015 (Act 896), First Schedule — resident withholding rate of 5% on works, as confirmed by the Ministry of Finance in a UK-Ghana Chamber of Commerce / PwC Ghana briefing, https://ukgcc.com.gh/ministry-of-finance-requested-to-consider-increasing-the-withholding-tax-threshold-on-supply-of-goods-services-and-works/</t>
        </r>
      </text>
    </comment>
    <comment ref="D33" authorId="0" shapeId="0" xr:uid="{3BCCCFD5-BA98-481F-8EF8-601F1891481D}">
      <text>
        <r>
          <rPr>
            <b/>
            <sz val="9"/>
            <color indexed="81"/>
            <rFont val="Tahoma"/>
            <charset val="1"/>
          </rPr>
          <t>HP:</t>
        </r>
        <r>
          <rPr>
            <sz val="9"/>
            <color indexed="81"/>
            <rFont val="Tahoma"/>
            <charset val="1"/>
          </rPr>
          <t xml:space="preserve">
Source: Income Tax Act, 2015 (Act 896) — withholding applies to cumulative payments to a person exceeding GHS 2,000 per annum, as confirmed by the Ministry of Finance in a UK-Ghana Chamber of Commerce / PwC Ghana briefing, https://ukgcc.com.gh/ministry-of-finance-requested-to-consider-increasing-the-withholding-tax-threshold-on-supply-of-goods-services-and-works/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L7" authorId="0" shapeId="0" xr:uid="{C0E88BE2-B35E-4131-AC22-728D7D76624F}">
      <text>
        <r>
          <rPr>
            <b/>
            <sz val="9"/>
            <color indexed="81"/>
            <rFont val="Tahoma"/>
            <charset val="1"/>
          </rPr>
          <t>HP:</t>
        </r>
        <r>
          <rPr>
            <sz val="9"/>
            <color indexed="81"/>
            <rFont val="Tahoma"/>
            <charset val="1"/>
          </rPr>
          <t xml:space="preserve">
Reference column. Names the Assumptions cell carrying this category's headline rate so a reviewer can trace it without opening the formula. For the VAT categories this is Combined_VAT_Rate (15% VAT + 2.5% NHIL + 2.5% GETFund on the same base). For the withholding categories it is the income tax withholding rate, which is a separate tax and does not change the VAT charged on the supply. IMPORTANT: the Ledger's Expected VAT, NHIL and GETFund columns read VAT_Rate, NHIL_Rate and GETFund_Rate directly. They do NOT read this column.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<sst xmlns="http://schemas.openxmlformats.org/spreadsheetml/2006/main" count="2115" uniqueCount="914">
  <si>
    <t>NKABOM HAULAGE LTD — CORE TAX ENGINE</t>
  </si>
  <si>
    <t>Sheet 1 of 6  •  Assumptions &amp; Controlled Tax Parameters  •  Petroleum Products Haulage, Ghana</t>
  </si>
  <si>
    <t>SIMULATION ONLY — All entity, counterparty, invoice and transaction data in this workbook is fictitious. This workbook is a control and reporting tool, not tax advice. Confirm all rates with the Ghana Revenue Authority before filing.</t>
  </si>
  <si>
    <t>A.  ENTITY &amp; SIMULATION CONTROL PANEL</t>
  </si>
  <si>
    <t>Parameter</t>
  </si>
  <si>
    <t>Entry</t>
  </si>
  <si>
    <t>Notes</t>
  </si>
  <si>
    <t>Entity name</t>
  </si>
  <si>
    <t>Nkabom Haulage Ltd</t>
  </si>
  <si>
    <t>Simulated taxpayer. Not a real registered company.</t>
  </si>
  <si>
    <t>Business activity</t>
  </si>
  <si>
    <t>Petroleum products haulage</t>
  </si>
  <si>
    <t>Bulk fuel cartage for OMCs and BDCs; ancillary logistics services.</t>
  </si>
  <si>
    <t>Reporting currency</t>
  </si>
  <si>
    <t>GHS</t>
  </si>
  <si>
    <t>Ghana Cedi. All amounts in this workbook are stated in GHS.</t>
  </si>
  <si>
    <t>Simulation period — start</t>
  </si>
  <si>
    <t>Period chosen so that the rates in force under the VAT Act, 2025 (Act 1151) apply throughout.</t>
  </si>
  <si>
    <t>Simulation period — end</t>
  </si>
  <si>
    <t>Twelve monthly VAT periods, supporting monthly reconciliation and cash-flow reporting.</t>
  </si>
  <si>
    <t>Assumptions "As at" date</t>
  </si>
  <si>
    <t>Date the rates and thresholds below were last verified against primary sources.</t>
  </si>
  <si>
    <t>VAT registration status</t>
  </si>
  <si>
    <t>Registered</t>
  </si>
  <si>
    <t>Assumed registered and standard-rated; turnover exceeds the registration threshold in B.7.</t>
  </si>
  <si>
    <t>VAT withholding agent?</t>
  </si>
  <si>
    <t>No</t>
  </si>
  <si>
    <t>The company is not an appointed agent, but suffers VAT withholding on some customer receipts.</t>
  </si>
  <si>
    <t>Prepared by / Reviewed by</t>
  </si>
  <si>
    <t>Finance — Tax</t>
  </si>
  <si>
    <t>Update on each review cycle. Rates should be re-verified at least quarterly.</t>
  </si>
  <si>
    <t>B.  CONTROLLED TAX RATES &amp; THRESHOLDS  —  these are the ONLY places a rate should ever be changed</t>
  </si>
  <si>
    <t>Parameter Code</t>
  </si>
  <si>
    <t>Value</t>
  </si>
  <si>
    <t>Unit</t>
  </si>
  <si>
    <t>Effective From</t>
  </si>
  <si>
    <t>Effective To</t>
  </si>
  <si>
    <t>Description / How it is used in this workbook</t>
  </si>
  <si>
    <t>Source Document (primary)</t>
  </si>
  <si>
    <t>Section / Provision</t>
  </si>
  <si>
    <t>Source Type</t>
  </si>
  <si>
    <t>Source Reference</t>
  </si>
  <si>
    <t>VAT_Rate</t>
  </si>
  <si>
    <t>Value Added Tax — standard rate</t>
  </si>
  <si>
    <t>% of taxable value</t>
  </si>
  <si>
    <t>Open</t>
  </si>
  <si>
    <t>Core VAT rate. Applied to the net (tax-exclusive) amount of standard-rated supplies made and received.</t>
  </si>
  <si>
    <t>Value Added Tax Act, 2025 (Act 1151), as explained in GRA guidance on the 2026 VAT reforms</t>
  </si>
  <si>
    <t>Statute + GRA</t>
  </si>
  <si>
    <t>https://gra.gov.gh/domestic-tax/tax-types/vat/</t>
  </si>
  <si>
    <t>NHIL_Rate</t>
  </si>
  <si>
    <t>National Health Insurance Levy (NHIL)</t>
  </si>
  <si>
    <t>Charged on the same base as VAT. Recoverable as input tax from 1 Jan 2026 following re-coupling.</t>
  </si>
  <si>
    <t>GETFund_Rate</t>
  </si>
  <si>
    <t>Ghana Education Trust Fund Levy (GETFund)</t>
  </si>
  <si>
    <t>COVID_Rate</t>
  </si>
  <si>
    <t>COVID-19 Health Recovery Levy — current</t>
  </si>
  <si>
    <t>ABOLISHED. Held at 0% so the levy stays visible in the engine and can be reinstated centrally if ever re-enacted.</t>
  </si>
  <si>
    <t>COVID_Rate_Prior</t>
  </si>
  <si>
    <t>COVID-19 Health Recovery Levy — superseded</t>
  </si>
  <si>
    <t>HISTORIC ONLY — not used by any calculation. Retained to document the basis for periods before 1 Jan 2026.</t>
  </si>
  <si>
    <t>COVID-19 Health Recovery Levy Act, 2021 (Act 1068)</t>
  </si>
  <si>
    <t>Act 1068 (imposition of the 1% levy), in force to 31 December 2025</t>
  </si>
  <si>
    <t>Combined_VAT_Rate</t>
  </si>
  <si>
    <t>Combined effective VAT &amp; levy rate</t>
  </si>
  <si>
    <t>DERIVED — do not overtype. VAT, NHIL and GETFund now sit on the same base, so the three simply add to 20%. This is the single rate the Ledger applies to standard-rated lines.</t>
  </si>
  <si>
    <t>Derived from VAT_Rate + NHIL_Rate + GETFund_Rate + COVID_Rate above</t>
  </si>
  <si>
    <t>Confirmed by GRA: the levies are charged on the same base as VAT (no cascading)</t>
  </si>
  <si>
    <t>Derived</t>
  </si>
  <si>
    <t>VAT_Threshold_Goods</t>
  </si>
  <si>
    <t>VAT registration threshold — goods</t>
  </si>
  <si>
    <t>GHS per annum</t>
  </si>
  <si>
    <t>Turnover level above which registration is compulsory for a goods business. Raised from GHS 200,000 by Act 1151.</t>
  </si>
  <si>
    <t>Value Added Tax Act, 2025 (Act 1151)</t>
  </si>
  <si>
    <t>Registration threshold — supply of goods</t>
  </si>
  <si>
    <t>Statute</t>
  </si>
  <si>
    <t>VAT_Threshold_Services</t>
  </si>
  <si>
    <t>VAT registration threshold — services</t>
  </si>
  <si>
    <t>Value Added Tax Act, 2025 (Act 1151); GRA VAT tax-type guidance</t>
  </si>
  <si>
    <t>VAT_WHT_Rate</t>
  </si>
  <si>
    <t>VAT withholding rate (appointed agents)</t>
  </si>
  <si>
    <t>Ghana Revenue Authority — VAT Withholding guidance; Value Added Tax Act, 2025 (Act 1151)</t>
  </si>
  <si>
    <t>GRA</t>
  </si>
  <si>
    <t>https://gra.gov.gh/domestic-tax/tax-types/vat-withholding/</t>
  </si>
  <si>
    <t>WHT_Goods</t>
  </si>
  <si>
    <t>Withholding tax — supply of goods (resident)</t>
  </si>
  <si>
    <t>% of payment</t>
  </si>
  <si>
    <t>Income-tax withholding on payments to resident suppliers of goods. Separate from VAT — kept here so the Ledger can reference it centrally.</t>
  </si>
  <si>
    <t>Income Tax Act, 2015 (Act 896), as amended</t>
  </si>
  <si>
    <t>First Schedule, paragraph 8 — withholding on supply of goods</t>
  </si>
  <si>
    <t>https://gra.gov.gh/domestic-tax/tax-types/withholding-tax/</t>
  </si>
  <si>
    <t>WHT_Services</t>
  </si>
  <si>
    <t>Withholding tax — supply of services (resident)</t>
  </si>
  <si>
    <t>The rate most relevant to this company: haulage is a service, so customers who are withholding agents deduct 7.5% from fees.</t>
  </si>
  <si>
    <t>First Schedule, paragraph 8 — withholding on service fees</t>
  </si>
  <si>
    <t>WHT_Works</t>
  </si>
  <si>
    <t>Withholding tax — works (resident)</t>
  </si>
  <si>
    <t>Applies to works contracts, e.g. depot civil works. Included for completeness of the withholding category.</t>
  </si>
  <si>
    <t>First Schedule, paragraph 8 — withholding on works</t>
  </si>
  <si>
    <t>WHT_Threshold</t>
  </si>
  <si>
    <t>Withholding tax threshold (goods/works/services)</t>
  </si>
  <si>
    <t>Sections 114–120 and First Schedule, paragraph 8 — GHS 2,000 contract rule</t>
  </si>
  <si>
    <t>C.  CONTROL CHECKS  —  all must read OK before the workbook is relied on</t>
  </si>
  <si>
    <t>Control check</t>
  </si>
  <si>
    <t>Expected</t>
  </si>
  <si>
    <t>Actual</t>
  </si>
  <si>
    <t>Status</t>
  </si>
  <si>
    <t>1.  Combined VAT &amp; levy rate agrees to the 20% effective rate published by GRA</t>
  </si>
  <si>
    <t>2.  COVID-19 Health Recovery Levy is nil for the simulation period</t>
  </si>
  <si>
    <t>3.  Simulation period falls entirely inside the Act 1151 effective window</t>
  </si>
  <si>
    <t>Yes</t>
  </si>
  <si>
    <t>4.  Every rate and threshold carries a primary source document</t>
  </si>
  <si>
    <t>5.  Every rate and threshold carries a section / provision reference</t>
  </si>
  <si>
    <t>7.  Assumptions have been verified within the last 90 days</t>
  </si>
  <si>
    <t>Current</t>
  </si>
  <si>
    <t>D.  BASIS OF PREPARATION, CELL LEGEND &amp; IMPORTANT NOTES</t>
  </si>
  <si>
    <t>Purpose of this sheet</t>
  </si>
  <si>
    <t>This is the single point of control for every tax rate and threshold in the workbook. The Ledger, VAT reconciliation, exception report and cash-flow summary all read their rates from Section B by name. To re-rate the whole workbook, change the value in column D only — never edit a transaction formula.</t>
  </si>
  <si>
    <t>Simulation period and the rates applied</t>
  </si>
  <si>
    <t>The simulation runs from 1 January to 31 December 2026. The Value Added Tax Act, 2025 (Act 1151) took effect on 1 January 2026, so the rates in force for the whole of the simulation period are those shown as current in Section B. Rates that applied before that date are not used by any calculation.</t>
  </si>
  <si>
    <t>What changed on 1 January 2026</t>
  </si>
  <si>
    <t>The 1% COVID-19 Health Recovery Levy was abolished. NHIL and the GETFund Levy were re-coupled to the VAT base, so VAT, NHIL and GETFund are now all charged on the same value instead of being stacked on one another. The old cascading calculation produced an effective burden of about 21.9%; the flat combined rate is now 20%. NHIL and GETFund also became recoverable as input tax.</t>
  </si>
  <si>
    <t>Points requiring confirmation</t>
  </si>
  <si>
    <t>The GHS 750,000 registration threshold applies to businesses dealing in GOODS. The company's supply is a haulage SERVICE, and the services threshold of GHS 200,000 is drawn from secondary commentary rather than a GRA publication. It is marked "Confirm w/ GRA" in column K and must be verified before any registration or deregistration decision is taken.</t>
  </si>
  <si>
    <t>Source hierarchy applied</t>
  </si>
  <si>
    <t>Rates were taken from the Ghana Revenue Authority and the governing Acts in preference to any other source. Column I records the source document, column J the specific provision, column K the type of source, and column L the reference. Each value in column D also carries a cell note repeating its source. No rate in this workbook has been estimated or assumed.</t>
  </si>
  <si>
    <t>Review cycle</t>
  </si>
  <si>
    <t>Re-verify all rates at least quarterly, and immediately after any Budget Statement or amending Act. Update the "As at" date in cell D12 on each review; control check 7 turns to REVIEW once the assumptions are more than 90 days old.</t>
  </si>
  <si>
    <t>CELL LEGEND</t>
  </si>
  <si>
    <t>Input cell — editable</t>
  </si>
  <si>
    <t>Blue text on cream fill. The only cells a user should type into.</t>
  </si>
  <si>
    <t>Calculated cell — locked</t>
  </si>
  <si>
    <t>Black text. Driven by formula. Protected against overtyping.</t>
  </si>
  <si>
    <t>Link to another sheet</t>
  </si>
  <si>
    <t>Green text. Pulls a value from elsewhere in this workbook.</t>
  </si>
  <si>
    <t>Needs attention</t>
  </si>
  <si>
    <t>Red on pink. An exception, a failed control check, or a figure awaiting confirmation.</t>
  </si>
  <si>
    <t>DISCLAIMER  —  This workbook is a simulated demonstration model built for training, control-design and review purposes. All entity names, counterparties, invoice numbers, amounts and transactions are fictitious. Nothing in it constitutes tax, legal or accounting advice, and it must not be used as the basis for a filing position. Verify every rate, threshold and treatment with the Ghana Revenue Authority or a qualified Ghanaian tax adviser before acting.</t>
  </si>
  <si>
    <t>VAT_Flat_Rate</t>
  </si>
  <si>
    <t>VAT Flat Rate Scheme (VFRS)</t>
  </si>
  <si>
    <t>Abolished</t>
  </si>
  <si>
    <t>n/a — scheme withdrawn</t>
  </si>
  <si>
    <t>3% and 5% flat rate regimes ended by Act 1151. All eligible suppliers use the 15% standard rate.</t>
  </si>
  <si>
    <t>Abolition of the VAT Flat Rate Scheme; 3% on goods and 5% on immovable property withdrawn</t>
  </si>
  <si>
    <t>https://gra.gov.gh/news/portfolio/notice-to-all-vat-registered-taxpayers/</t>
  </si>
  <si>
    <t>None</t>
  </si>
  <si>
    <t>Register within 30 days of starting taxable services</t>
  </si>
  <si>
    <t>No turnover test applies to this company. It registers regardless of turnover, on commencing taxable services, and accounts for VAT on all standard-rated supplies from day one.</t>
  </si>
  <si>
    <t>Registration obligation — supply of services; registration on commencement rather than by turnover</t>
  </si>
  <si>
    <t>Not changed by Act 1151</t>
  </si>
  <si>
    <t>6.  No rate, threshold or status cell has been left blank</t>
  </si>
  <si>
    <t>COVID-19 Health Recovery Levy Repeal Act, 2025 — abolishes the levy created by the COVID-19 Health Recovery Levy Act, 2021 (Act 1068)</t>
  </si>
  <si>
    <t>Repeal of the COVID-19 Health Recovery Levy Act, 2021 (Act 1068); GRA VAT tax-type guidance on the 2026 reforms</t>
  </si>
  <si>
    <t>National Health Insurance Act, 2012 (Act 852), as amended by the National Health Insurance (Amendment) Act, 2025 — source for input tax deductibility; base re-coupled to VAT by the Value Added Tax Act, 2025 (Act 1151)</t>
  </si>
  <si>
    <t>Ghana Education Trust Fund (Amendment) Act, 2018 (Act 972), as further amended by the Ghana Education Trust Fund (Amendment) Act, 2025 — source for input tax deductibility; base re-coupled to VAT by the Value Added Tax Act, 2025 (Act 1151)</t>
  </si>
  <si>
    <t>s.3 — imposition of VAT at the standard rate; GRA VAT tax-type guidance</t>
  </si>
  <si>
    <t>Withheld by appointed customers from amounts due to the company. A payment credit, not an extra tax — it does not change output VAT. Applies only when an appointed VAT withholding agent pays a VAT-registered supplier. Base is the tax-exclusive value.</t>
  </si>
  <si>
    <t>GHS per annum cumulative per payee</t>
  </si>
  <si>
    <t>Cumulative annual payments to one person below this level are not subject to withholding. Not a VAT threshold — do not confuse with VAT_Threshold_Goods / VAT_Threshold_Services.</t>
  </si>
  <si>
    <t>Income Tax Act, 2015 (Act 896), as amended; Ghana Revenue Authority — Withholding Tax page</t>
  </si>
  <si>
    <t>Act 1151 s.56, withholding of 7% of taxable output value. s.55, appointment of agents, confirm in Act text.</t>
  </si>
  <si>
    <t>Ghana Education Trust Fund (Amendment) Act, year and number to confirm — re-coupling of the levy to the VAT base and input tax deductibility; GRA 2026 VAT reform guidance — Confirm section in Act text</t>
  </si>
  <si>
    <t>National Health Insurance (Amendment) Act, 2025, number to confirm — re-coupling of the levy to the VAT base and input tax deductibility; GRA 2026 VAT reform guidance — Confirm section in Act text</t>
  </si>
  <si>
    <t>Ledger year</t>
  </si>
  <si>
    <t>Calendar year the Ledger transactions fall in. Driven centrally — the Ledger reads this as Ledger_Year.</t>
  </si>
  <si>
    <t>8.  Ledger year agrees to the simulation period</t>
  </si>
  <si>
    <t>Sheet 2 of 6  •  Tax Category Reference  •  Controlled list — the Ledger validates against this sheet</t>
  </si>
  <si>
    <t>SIMULATION ONLY — This sheet sets the tax treatment applied to every Ledger line. Change a code here and every transaction using it re-calculates. Not tax advice.</t>
  </si>
  <si>
    <t>A.  TAX CATEGORY REFERENCE TABLE</t>
  </si>
  <si>
    <t>Code</t>
  </si>
  <si>
    <t>Category Name</t>
  </si>
  <si>
    <t>VAT Class</t>
  </si>
  <si>
    <t>Direction</t>
  </si>
  <si>
    <t>Charges VAT</t>
  </si>
  <si>
    <t>Input Deductible</t>
  </si>
  <si>
    <t>Plain-language definition</t>
  </si>
  <si>
    <t>VAT / input-tax treatment</t>
  </si>
  <si>
    <t>Source document</t>
  </si>
  <si>
    <t>Section / provision</t>
  </si>
  <si>
    <t>OUT_STD</t>
  </si>
  <si>
    <t>Standard-rated sale (output)</t>
  </si>
  <si>
    <t>Standard-rated</t>
  </si>
  <si>
    <t>Inflow</t>
  </si>
  <si>
    <t>n/a - output</t>
  </si>
  <si>
    <t>Freight and haulage services the company invoices to customers in Ghana. The normal case for this business.</t>
  </si>
  <si>
    <t>Charge VAT 15% plus NHIL 2.5% and GETFund 2.5% on the tax-exclusive fee, a combined 20%. Declared as output tax on the monthly VAT return.</t>
  </si>
  <si>
    <t>s.3 - imposition of VAT at the standard rate</t>
  </si>
  <si>
    <t>WHT_SVC</t>
  </si>
  <si>
    <t>Standard-rated sale, income tax withheld</t>
  </si>
  <si>
    <t>A standard-rated haulage sale where the customer is an income-tax withholding agent and deducts 7.5% from the service fee before paying.</t>
  </si>
  <si>
    <t>VAT treatment is unchanged - still 20% output tax on the full fee. The 7.5% deduction is income tax, not VAT, and is recovered as a tax credit. Never net it off output VAT.</t>
  </si>
  <si>
    <t>Value Added Tax Act, 2025 (Act 1151); Income Tax Act, 2015 (Act 896)</t>
  </si>
  <si>
    <t>First Schedule, paragraph 8 - withholding on service fees</t>
  </si>
  <si>
    <t>VAT_WHT</t>
  </si>
  <si>
    <t>Standard-rated sale, VAT withheld at source</t>
  </si>
  <si>
    <t>A standard-rated haulage sale to a customer GRA has appointed as a VAT withholding agent. The customer retains 7% of the taxable value and pays it to GRA directly.</t>
  </si>
  <si>
    <t>Output tax is still declared in full at 20%. The 7% withheld is a payment on account, claimed as a credit against the VAT liability on production of the withholding certificate.</t>
  </si>
  <si>
    <t>Value Added Tax Act, 2025 (Act 1151); GRA VAT Withholding guidance</t>
  </si>
  <si>
    <t>Act 1151 s.56, withholding of 7%; s.55, appointment of agents, confirm in Act text</t>
  </si>
  <si>
    <t>IN_STD</t>
  </si>
  <si>
    <t>Standard-rated purchase (recoverable input)</t>
  </si>
  <si>
    <t>Outflow</t>
  </si>
  <si>
    <t>Purchases from VAT-registered suppliers used in making taxable supplies - spares, tyres, repairs, telecoms, professional fees.</t>
  </si>
  <si>
    <t>Input tax at 20% is recoverable in full and offset against output VAT. From 1 January 2026 the NHIL and GETFund elements are also recoverable, because Act 1151 re-coupled them to the VAT base.</t>
  </si>
  <si>
    <t>Deduction of input tax; re-coupling of NHIL and GETFund</t>
  </si>
  <si>
    <t>IN_EXEMPT</t>
  </si>
  <si>
    <t>Exempt purchase</t>
  </si>
  <si>
    <t>Exempt</t>
  </si>
  <si>
    <t>Supplies that carry no VAT at all - in this business mainly petroleum products bought for own use, insurance premiums and bank charges.</t>
  </si>
  <si>
    <t>No VAT is charged by the supplier, so there is no input tax to claim. The full cost is expensed. Claiming input tax on these is a common and material error.</t>
  </si>
  <si>
    <t>Value Added Tax Act, 2025 (Act 1151) - exempt supplies</t>
  </si>
  <si>
    <t>Exempt supplies schedule - confirm item in Act text</t>
  </si>
  <si>
    <t>NO_VAT</t>
  </si>
  <si>
    <t>Outside the scope of VAT</t>
  </si>
  <si>
    <t>Outside scope</t>
  </si>
  <si>
    <t>Payments that are not a supply of goods or services - salaries and wages, loan principal and interest, tax remittances, dividends and internal transfers.</t>
  </si>
  <si>
    <t>Not a taxable transaction. No VAT, no input tax and no entry on the VAT return. Included in the Ledger only so the cash-flow statement is complete.</t>
  </si>
  <si>
    <t>Value Added Tax Act, 2025 (Act 1151) - scope of the tax</t>
  </si>
  <si>
    <t>Scope - taxable supply made in Ghana by a taxable person</t>
  </si>
  <si>
    <t>IN_NONDED</t>
  </si>
  <si>
    <t>Non-deductible input</t>
  </si>
  <si>
    <t>Non-deductible</t>
  </si>
  <si>
    <t>Purchases where the supplier correctly charges VAT but the law blocks recovery - entertainment, staff hospitality and passenger vehicles.</t>
  </si>
  <si>
    <t>VAT at 20% is charged and paid, but none of it may be claimed as input tax. The VAT becomes part of the cost. This is the trap the Error_Flags sheet is designed to catch.</t>
  </si>
  <si>
    <t>Value Added Tax Act, 2025 (Act 1151) - restriction on input tax</t>
  </si>
  <si>
    <t>Blocked input tax - entertainment and passenger vehicles; confirm in Act text</t>
  </si>
  <si>
    <t>ZERO_RATED</t>
  </si>
  <si>
    <t>Zero-rated supply</t>
  </si>
  <si>
    <t>Zero-rated</t>
  </si>
  <si>
    <t>VAT is charged at 0%, so no output tax arises, but the supply stays taxable. Input tax on related costs remains fully recoverable - the key difference from an exempt supply.</t>
  </si>
  <si>
    <t>Value Added Tax Act, 2025 (Act 1151) - zero-rated supplies</t>
  </si>
  <si>
    <t>Zero-rating schedule - exports; confirm item in Act text</t>
  </si>
  <si>
    <t>Taxable supplies charged at 0% - chiefly exports qualifying under the Act. Held here for completeness; the simulated Ledger contains none. Charges VAT is set to No because the rate is 0%. Unlike an exempt supply, input tax on related costs stays recoverable - see Input Deductible.</t>
  </si>
  <si>
    <t>Sheet 3 of 6  •  Transaction Ledger  •  1 January to 31 August 2026  •  300 simulated transactions</t>
  </si>
  <si>
    <t>SIMULATION ONLY — All counterparties, invoice numbers and amounts are fictitious. Blue cells are captured data. Grey cells are calculated — do not overtype. Tax Category is validated against the Categories sheet.</t>
  </si>
  <si>
    <t>A.  TRANSACTION LEDGER</t>
  </si>
  <si>
    <t>Row ID</t>
  </si>
  <si>
    <t>Date</t>
  </si>
  <si>
    <t>Description</t>
  </si>
  <si>
    <t>Counterparty</t>
  </si>
  <si>
    <t>Tax Category</t>
  </si>
  <si>
    <t>Amount</t>
  </si>
  <si>
    <t>Invoice Number</t>
  </si>
  <si>
    <t>Tax Charged on Invoice</t>
  </si>
  <si>
    <t>Expected VAT</t>
  </si>
  <si>
    <t>Expected NHIL</t>
  </si>
  <si>
    <t>Expected GETFund</t>
  </si>
  <si>
    <t>Expected Total Tax</t>
  </si>
  <si>
    <t>Gross Amount</t>
  </si>
  <si>
    <t>Bulk haulage of ATK, Kumasi-Sunyani, 9 trips</t>
  </si>
  <si>
    <t>Golden Harmattan Energy Ltd</t>
  </si>
  <si>
    <t>NHL-2026-0001</t>
  </si>
  <si>
    <t>Bulk haulage of ATK, Tema-Takoradi, 3 trips</t>
  </si>
  <si>
    <t>Tema Bulk Energy Ltd</t>
  </si>
  <si>
    <t>NHL-2026-0002</t>
  </si>
  <si>
    <t>Mobile and data services</t>
  </si>
  <si>
    <t>Sahara Fleet Services Ltd</t>
  </si>
  <si>
    <t>SIN-2026-0001</t>
  </si>
  <si>
    <t>Contract haulage of PMS, Tema-Ho; customer withheld income tax at 7.5% on the service fee</t>
  </si>
  <si>
    <t>NHL-2026-0003</t>
  </si>
  <si>
    <t>Bulk haulage of AGO, Tema-Bolgatanga, 2 trips</t>
  </si>
  <si>
    <t>Sankofa Petroleum Depot Ltd</t>
  </si>
  <si>
    <t>NHL-2026-0004</t>
  </si>
  <si>
    <t>Contract haulage of AGO, Tema-Bolgatanga; customer withheld income tax at 7.5% on the service fee</t>
  </si>
  <si>
    <t>NHL-2026-0005</t>
  </si>
  <si>
    <t>Bulk haulage of AGO, Takoradi-Wa, 7 trips</t>
  </si>
  <si>
    <t>NHL-2026-0006</t>
  </si>
  <si>
    <t>Diesel (AGO) purchased for own fleet use, 10,136 litres</t>
  </si>
  <si>
    <t>Zenith Fuel Depot Ltd</t>
  </si>
  <si>
    <t>SIN-2026-0002</t>
  </si>
  <si>
    <t>Diesel (AGO) purchased for own fleet use, 8,242 litres</t>
  </si>
  <si>
    <t>SIN-2026-0003</t>
  </si>
  <si>
    <t>Diesel (AGO) purchased for own fleet use, 16,629 litres</t>
  </si>
  <si>
    <t>SIN-2026-0004</t>
  </si>
  <si>
    <t>PAYE and SSNIT contributions - January</t>
  </si>
  <si>
    <t>Ghana Revenue Authority</t>
  </si>
  <si>
    <t>GRA-2026-0001</t>
  </si>
  <si>
    <t>Term loan repayment - principal and interest, instalment 1</t>
  </si>
  <si>
    <t>Meridian Bank Ghana Ltd</t>
  </si>
  <si>
    <t>LN-2026-0001</t>
  </si>
  <si>
    <t>Replacement tyres for prime movers</t>
  </si>
  <si>
    <t>SIN-2026-0005</t>
  </si>
  <si>
    <t>Bulk haulage of AGO, Tema-Ho, 5 trips</t>
  </si>
  <si>
    <t>Pra River Energy Ltd</t>
  </si>
  <si>
    <t>NHL-2026-0007</t>
  </si>
  <si>
    <t>Bulk haulage of PMS, Tema-Bolgatanga, 8 trips</t>
  </si>
  <si>
    <t>NHL-2026-0008</t>
  </si>
  <si>
    <t>Term haulage contract, LPG, Tema-Kumasi; customer is an appointed VAT withholding agent and retained 7%</t>
  </si>
  <si>
    <t>Northern Star BDC Ltd</t>
  </si>
  <si>
    <t>NHL-2026-0009</t>
  </si>
  <si>
    <t>Fleet tracking software subscription</t>
  </si>
  <si>
    <t>Bono Workshop Services Ltd</t>
  </si>
  <si>
    <t>SIN-2026-0006</t>
  </si>
  <si>
    <t>Bulk haulage of LPG, Tema-Bolgatanga, 6 trips</t>
  </si>
  <si>
    <t>Obuasi Fuel Distributors Ltd</t>
  </si>
  <si>
    <t>NHL-2026-0010</t>
  </si>
  <si>
    <t>Bulk haulage of ATK, Tema-Takoradi, 2 trips</t>
  </si>
  <si>
    <t>NHL-2026-0011</t>
  </si>
  <si>
    <t>Contract haulage of AGO, Tema-Takoradi; customer withheld income tax at 7.5% on the service fee</t>
  </si>
  <si>
    <t>NHL-2026-0012</t>
  </si>
  <si>
    <t>Diesel (AGO) purchased for own fleet use, 25,971 litres</t>
  </si>
  <si>
    <t>SIN-2026-0007</t>
  </si>
  <si>
    <t>Bulk haulage of AGO, Tema-Takoradi, 8 trips</t>
  </si>
  <si>
    <t>NHL-2026-0013</t>
  </si>
  <si>
    <t>Bulk haulage of PMS, Tema-Cape Coast, 3 trips</t>
  </si>
  <si>
    <t>NHL-2026-0014</t>
  </si>
  <si>
    <t>Client entertainment - business development</t>
  </si>
  <si>
    <t>Sunset Lounge Ltd</t>
  </si>
  <si>
    <t>SIN-2026-0008</t>
  </si>
  <si>
    <t>Workshop consumables and lubricants</t>
  </si>
  <si>
    <t>SIN-2026-0009</t>
  </si>
  <si>
    <t>SIN-2026-0010</t>
  </si>
  <si>
    <t>Contract haulage of ATK, Takoradi-Tamale; customer withheld income tax at 7.5% on the service fee</t>
  </si>
  <si>
    <t>Adinkra Oil Marketing Ltd</t>
  </si>
  <si>
    <t>NHL-2026-0015</t>
  </si>
  <si>
    <t>VAT and levies remitted to GRA for January period</t>
  </si>
  <si>
    <t>GRA-2026-0002</t>
  </si>
  <si>
    <t>Transfer and settlement charges</t>
  </si>
  <si>
    <t>Trust Union Bank Ltd</t>
  </si>
  <si>
    <t>BNK-2026-0001</t>
  </si>
  <si>
    <t>Truck spare parts and filters</t>
  </si>
  <si>
    <t>SIN-2026-0011</t>
  </si>
  <si>
    <t>Greenfield IT Solutions Ltd</t>
  </si>
  <si>
    <t>SIN-2026-0012</t>
  </si>
  <si>
    <t>NHL-2026-0016</t>
  </si>
  <si>
    <t>Bulk haulage of LPG, Tema-Ho, 6 trips</t>
  </si>
  <si>
    <t>NHL-2026-0017</t>
  </si>
  <si>
    <t>Diesel (AGO) purchased for own fleet use, 9,293 litres</t>
  </si>
  <si>
    <t>SIN-2026-0013</t>
  </si>
  <si>
    <t>Motor fleet insurance premium</t>
  </si>
  <si>
    <t>Unity Assurance Ltd</t>
  </si>
  <si>
    <t>SIN-2026-0014</t>
  </si>
  <si>
    <t>Bulk haulage of AGO, Tema-Bolgatanga, 5 trips</t>
  </si>
  <si>
    <t>NHL-2026-0018</t>
  </si>
  <si>
    <t>Contract haulage of PMS, Kumasi-Sunyani; customer withheld income tax at 7.5% on the service fee</t>
  </si>
  <si>
    <t>NHL-2026-0019</t>
  </si>
  <si>
    <t>Bulk haulage of LPG, Kumasi-Sunyani, 5 trips</t>
  </si>
  <si>
    <t>NHL-2026-0020</t>
  </si>
  <si>
    <t>Bank charges and account maintenance</t>
  </si>
  <si>
    <t>BNK-2026-0002</t>
  </si>
  <si>
    <t>Bulk haulage of LPG, Takoradi-Tamale, 6 trips</t>
  </si>
  <si>
    <t>NHL-2026-0021</t>
  </si>
  <si>
    <t>Depot security services</t>
  </si>
  <si>
    <t>SIN-2026-0015</t>
  </si>
  <si>
    <t>Staff salaries and wages - January</t>
  </si>
  <si>
    <t>Nkabom Haulage Payroll</t>
  </si>
  <si>
    <t>PAY-2026-0001</t>
  </si>
  <si>
    <t>Bulk haulage of PMS, Kumasi-Sunyani, 7 trips</t>
  </si>
  <si>
    <t>NHL-2026-0022</t>
  </si>
  <si>
    <t>Bulk haulage of ATK, Tema-Bolgatanga, 9 trips</t>
  </si>
  <si>
    <t>Keta Coastal Oils Ltd</t>
  </si>
  <si>
    <t>NHL-2026-0023</t>
  </si>
  <si>
    <t>Bulk haulage of LPG, Takoradi-Tamale, 9 trips</t>
  </si>
  <si>
    <t>NHL-2026-0024</t>
  </si>
  <si>
    <t>NHL-2026-0025</t>
  </si>
  <si>
    <t>BNK-2026-0003</t>
  </si>
  <si>
    <t>Diesel (AGO) purchased for own fleet use, 19,434 litres</t>
  </si>
  <si>
    <t>SIN-2026-0016</t>
  </si>
  <si>
    <t>Diesel (AGO) purchased for own fleet use, 14,001 litres</t>
  </si>
  <si>
    <t>SIN-2026-0017</t>
  </si>
  <si>
    <t>SIN-2026-0018</t>
  </si>
  <si>
    <t>Bulk haulage of PMS, Tema-Ho, 4 trips</t>
  </si>
  <si>
    <t>NHL-2026-0026</t>
  </si>
  <si>
    <t>Diesel (AGO) purchased for own fleet use, 8,451 litres</t>
  </si>
  <si>
    <t>SIN-2026-0019</t>
  </si>
  <si>
    <t>Year-end staff function</t>
  </si>
  <si>
    <t>Labadi Grill House Ltd</t>
  </si>
  <si>
    <t>SIN-2026-0020</t>
  </si>
  <si>
    <t>Bulk haulage of AGO, Takoradi-Wa, 3 trips</t>
  </si>
  <si>
    <t>NHL-2026-0027</t>
  </si>
  <si>
    <t>Bulk haulage of PMS, Takoradi-Wa, 2 trips</t>
  </si>
  <si>
    <t>NHL-2026-0028</t>
  </si>
  <si>
    <t>PAYE and SSNIT contributions - February</t>
  </si>
  <si>
    <t>GRA-2026-0003</t>
  </si>
  <si>
    <t>Contract haulage of PMS, Takoradi-Tamale; customer withheld income tax at 7.5% on the service fee</t>
  </si>
  <si>
    <t>NHL-2026-0029</t>
  </si>
  <si>
    <t>BNK-2026-0004</t>
  </si>
  <si>
    <t>Term loan repayment - principal and interest, instalment 2</t>
  </si>
  <si>
    <t>LN-2026-0002</t>
  </si>
  <si>
    <t>Term haulage contract, LPG, Tema-Cape Coast; customer is an appointed VAT withholding agent and retained 7%</t>
  </si>
  <si>
    <t>NHL-2026-0030</t>
  </si>
  <si>
    <t>Staff hospitality and refreshments</t>
  </si>
  <si>
    <t>Executive Motors Ltd</t>
  </si>
  <si>
    <t>SIN-2026-0021</t>
  </si>
  <si>
    <t>Term haulage contract, ATK, Tema-Bolgatanga; customer is an appointed VAT withholding agent and retained 7%</t>
  </si>
  <si>
    <t>NHL-2026-0031</t>
  </si>
  <si>
    <t>Third-party liability cover premium</t>
  </si>
  <si>
    <t>SIN-2026-0022</t>
  </si>
  <si>
    <t>Bulk haulage of ATK, Tema-Cape Coast, 8 trips</t>
  </si>
  <si>
    <t>Akwaaba Petroleum Ltd</t>
  </si>
  <si>
    <t>NHL-2026-0032</t>
  </si>
  <si>
    <t>Diesel (AGO) purchased for own fleet use, 14,500 litres</t>
  </si>
  <si>
    <t>SIN-2026-0023</t>
  </si>
  <si>
    <t>VAT and levies remitted to GRA for February period</t>
  </si>
  <si>
    <t>GRA-2026-0004</t>
  </si>
  <si>
    <t>Bulk haulage of PMS, Tema-Kumasi, 7 trips</t>
  </si>
  <si>
    <t>NHL-2026-0033</t>
  </si>
  <si>
    <t>Cheque book and facility fees</t>
  </si>
  <si>
    <t>BNK-2026-0005</t>
  </si>
  <si>
    <t>SIN-2026-0024</t>
  </si>
  <si>
    <t>Bulk haulage of AGO, Takoradi-Tamale, 2 trips</t>
  </si>
  <si>
    <t>NHL-2026-0090</t>
  </si>
  <si>
    <t>SIN-2026-0025</t>
  </si>
  <si>
    <t>Withholding tax remitted to GRA</t>
  </si>
  <si>
    <t>JNL-2026-0001</t>
  </si>
  <si>
    <t>Staff salaries and wages - February</t>
  </si>
  <si>
    <t>PAY-2026-0002</t>
  </si>
  <si>
    <t>Bulk haulage of PMS, Tema-Ho, 8 trips</t>
  </si>
  <si>
    <t>NHL-2026-0035</t>
  </si>
  <si>
    <t>BNK-2026-0006</t>
  </si>
  <si>
    <t>Diesel (AGO) purchased for own fleet use, 19,460 litres</t>
  </si>
  <si>
    <t>SIN-2026-0026</t>
  </si>
  <si>
    <t>Kumasi Tyre Centre Ltd</t>
  </si>
  <si>
    <t>SIN-2026-0027</t>
  </si>
  <si>
    <t>Bulk haulage of LPG, Tema-Cape Coast, 5 trips</t>
  </si>
  <si>
    <t>NHL-2026-0036</t>
  </si>
  <si>
    <t>NHL-2026-0037</t>
  </si>
  <si>
    <t>Castle Security Services Ltd</t>
  </si>
  <si>
    <t>SIN-2026-0028</t>
  </si>
  <si>
    <t>BNK-2026-0007</t>
  </si>
  <si>
    <t>Diesel (AGO) purchased for own fleet use, 17,093 litres</t>
  </si>
  <si>
    <t>SIN-2026-0029</t>
  </si>
  <si>
    <t>Bulk haulage of PMS, Tema-Takoradi, 4 trips</t>
  </si>
  <si>
    <t>NHL-2026-0038</t>
  </si>
  <si>
    <t>Term haulage contract, LPG, Tema-Bolgatanga; customer is an appointed VAT withholding agent and retained 7%</t>
  </si>
  <si>
    <t>NHL-2026-0039</t>
  </si>
  <si>
    <t>PAYE and SSNIT contributions - March</t>
  </si>
  <si>
    <t>GRA-2026-0005</t>
  </si>
  <si>
    <t>BNK-2026-0008</t>
  </si>
  <si>
    <t>Adom Telecom Ghana Ltd</t>
  </si>
  <si>
    <t>SIN-2026-0030</t>
  </si>
  <si>
    <t>Bulk haulage of ATK, Tema-Bolgatanga, 6 trips</t>
  </si>
  <si>
    <t>NHL-2026-0040</t>
  </si>
  <si>
    <t>BNK-2026-0009</t>
  </si>
  <si>
    <t>Bulk haulage of LPG, Takoradi-Wa, 7 trips</t>
  </si>
  <si>
    <t>NHL-2026-0041</t>
  </si>
  <si>
    <t>Bulk haulage of PMS, Takoradi-Tamale, 8 trips</t>
  </si>
  <si>
    <t>NHL-2026-0042</t>
  </si>
  <si>
    <t>NHL-2026-0043</t>
  </si>
  <si>
    <t>Bulk haulage of AGO, Tema-Cape Coast, 6 trips</t>
  </si>
  <si>
    <t>Passenger vehicle running costs - management car</t>
  </si>
  <si>
    <t>SIN-2026-0031</t>
  </si>
  <si>
    <t>SIN-2026-0032</t>
  </si>
  <si>
    <t>Term loan repayment - principal and interest, instalment 3</t>
  </si>
  <si>
    <t>LN-2026-0003</t>
  </si>
  <si>
    <t>NHL-2026-0045</t>
  </si>
  <si>
    <t>Diesel (AGO) purchased for own fleet use, 17,746 litres</t>
  </si>
  <si>
    <t>SIN-2026-0033</t>
  </si>
  <si>
    <t>SIN-2026-0081</t>
  </si>
  <si>
    <t>Contract haulage of ATK, Takoradi-Wa; customer withheld income tax at 7.5% on the service fee</t>
  </si>
  <si>
    <t>NHL-2026-0046</t>
  </si>
  <si>
    <t>BNK-2026-0010</t>
  </si>
  <si>
    <t>SIN-2026-0035</t>
  </si>
  <si>
    <t>Pillar Insurance Ghana Ltd</t>
  </si>
  <si>
    <t>SIN-2026-0036</t>
  </si>
  <si>
    <t>Diesel (AGO) purchased for own fleet use, 21,989 litres</t>
  </si>
  <si>
    <t>SIN-2026-0037</t>
  </si>
  <si>
    <t>VAT and levies remitted to GRA for March period</t>
  </si>
  <si>
    <t>GRA-2026-0006</t>
  </si>
  <si>
    <t>SIN-2026-0038</t>
  </si>
  <si>
    <t>Director current account repayment</t>
  </si>
  <si>
    <t>Nkabom Haulage Ltd - Reserve Account</t>
  </si>
  <si>
    <t>JNL-2026-0002</t>
  </si>
  <si>
    <t>Bulk haulage of ATK, Kumasi-Sunyani, 4 trips</t>
  </si>
  <si>
    <t>NHL-2026-0047</t>
  </si>
  <si>
    <t>Contract haulage of AGO, Tema-Cape Coast; customer withheld income tax at 7.5% on the service fee</t>
  </si>
  <si>
    <t>NHL-2026-0048</t>
  </si>
  <si>
    <t>BNK-2026-0011</t>
  </si>
  <si>
    <t>Term haulage contract, PMS, Tema-Cape Coast; customer is an appointed VAT withholding agent and retained 7%</t>
  </si>
  <si>
    <t>NHL-2026-0049</t>
  </si>
  <si>
    <t>Contract haulage of ATK, Kumasi-Sunyani; customer withheld income tax at 7.5% on the service fee</t>
  </si>
  <si>
    <t>NHL-2026-0050</t>
  </si>
  <si>
    <t>Office stationery and printing</t>
  </si>
  <si>
    <t>SIN-2026-0039</t>
  </si>
  <si>
    <t>Bulk haulage of AGO, Kumasi-Sunyani, 9 trips</t>
  </si>
  <si>
    <t>NHL-2026-0051</t>
  </si>
  <si>
    <t>Staff salaries and wages - March</t>
  </si>
  <si>
    <t>PAY-2026-0003</t>
  </si>
  <si>
    <t>SIN-2026-0041</t>
  </si>
  <si>
    <t>SIN-2026-0042</t>
  </si>
  <si>
    <t>BNK-2026-0012</t>
  </si>
  <si>
    <t>SIN-2026-0043</t>
  </si>
  <si>
    <t>Contract haulage of ATK, Tema-Kumasi; customer withheld income tax at 7.5% on the service fee</t>
  </si>
  <si>
    <t>NHL-2026-0052</t>
  </si>
  <si>
    <t>PAYE and SSNIT contributions - April</t>
  </si>
  <si>
    <t>GRA-2026-0007</t>
  </si>
  <si>
    <t>BNK-2026-0013</t>
  </si>
  <si>
    <t>Diesel (AGO) purchased for own fleet use, 8,631 litres</t>
  </si>
  <si>
    <t>SIN-2026-0044</t>
  </si>
  <si>
    <t>SIN-2026-0045</t>
  </si>
  <si>
    <t>JNL-2026-0003</t>
  </si>
  <si>
    <t>Bulk haulage of LPG, Tema-Cape Coast, 9 trips</t>
  </si>
  <si>
    <t>NHL-2026-0053</t>
  </si>
  <si>
    <t>SIN-2026-0046</t>
  </si>
  <si>
    <t>Term loan repayment - principal and interest, instalment 4</t>
  </si>
  <si>
    <t>LN-2026-0004</t>
  </si>
  <si>
    <t>Ashanti Truck Parts Ltd</t>
  </si>
  <si>
    <t>SIN-2026-0047</t>
  </si>
  <si>
    <t>SIN-2026-0048</t>
  </si>
  <si>
    <t>SIN-2026-0049</t>
  </si>
  <si>
    <t>Bulk haulage of ATK, Takoradi-Tamale, 6 trips</t>
  </si>
  <si>
    <t>NHL-2026-0054</t>
  </si>
  <si>
    <t>SIN-2026-0050</t>
  </si>
  <si>
    <t>SIN-2026-0051</t>
  </si>
  <si>
    <t>SIN-2026-0052</t>
  </si>
  <si>
    <t>VAT and levies remitted to GRA for April period</t>
  </si>
  <si>
    <t>GRA-2026-0008</t>
  </si>
  <si>
    <t>Dividend paid to shareholders</t>
  </si>
  <si>
    <t>JNL-2026-0004</t>
  </si>
  <si>
    <t>Bulk haulage of LPG, Takoradi-Wa, 8 trips</t>
  </si>
  <si>
    <t>NHL-2026-0055</t>
  </si>
  <si>
    <t>SIN-2026-0053</t>
  </si>
  <si>
    <t>SIN-2026-0054</t>
  </si>
  <si>
    <t>SIN-2026-0055</t>
  </si>
  <si>
    <t>SIN-2026-0056</t>
  </si>
  <si>
    <t>BNK-2026-0014</t>
  </si>
  <si>
    <t>Volta Star Fuels Ltd</t>
  </si>
  <si>
    <t>NHL-2026-0056</t>
  </si>
  <si>
    <t>SIN-2026-0057</t>
  </si>
  <si>
    <t>Bulk haulage of AGO, Takoradi-Wa, 4 trips</t>
  </si>
  <si>
    <t>NHL-2026-0057</t>
  </si>
  <si>
    <t>Bulk haulage of AGO, Tema-Cape Coast, 9 trips</t>
  </si>
  <si>
    <t>NHL-2026-0058</t>
  </si>
  <si>
    <t>SIN-2026-0058</t>
  </si>
  <si>
    <t>SIN-2026-0059</t>
  </si>
  <si>
    <t>BNK-2026-0015</t>
  </si>
  <si>
    <t>SIN-2026-0060</t>
  </si>
  <si>
    <t>Bulk haulage of LPG, Takoradi-Tamale, 7 trips</t>
  </si>
  <si>
    <t>NHL-2026-0059</t>
  </si>
  <si>
    <t>Bulk haulage of AGO, Kumasi-Sunyani, 4 trips</t>
  </si>
  <si>
    <t>NHL-2026-0060</t>
  </si>
  <si>
    <t>NHL-2026-0061</t>
  </si>
  <si>
    <t>BNK-2026-0016</t>
  </si>
  <si>
    <t>SIN-2026-0061</t>
  </si>
  <si>
    <t>Bulk haulage of ATK, Kumasi-Sunyani, 5 trips</t>
  </si>
  <si>
    <t>NHL-2026-0062</t>
  </si>
  <si>
    <t>Goods-in-transit insurance premium</t>
  </si>
  <si>
    <t>SIN-2026-0062</t>
  </si>
  <si>
    <t>Staff salaries and wages - April</t>
  </si>
  <si>
    <t>PAY-2026-0004</t>
  </si>
  <si>
    <t>NHL-2026-0063</t>
  </si>
  <si>
    <t>Fleet servicing and workshop labour</t>
  </si>
  <si>
    <t>SIN-2026-0063</t>
  </si>
  <si>
    <t>SIN-2026-0064</t>
  </si>
  <si>
    <t>Contract haulage of PMS, Tema-Bolgatanga; customer withheld income tax at 7.5% on the service fee</t>
  </si>
  <si>
    <t>NHL-2026-0064</t>
  </si>
  <si>
    <t>Diesel (AGO) purchased for own fleet use, 17,309 litres</t>
  </si>
  <si>
    <t>SIN-2026-0065</t>
  </si>
  <si>
    <t>Contract haulage of PMS, Takoradi-Wa; customer withheld income tax at 7.5% on the service fee</t>
  </si>
  <si>
    <t>NHL-2026-0065</t>
  </si>
  <si>
    <t>JNL-2026-0005</t>
  </si>
  <si>
    <t>SIN-2026-0066</t>
  </si>
  <si>
    <t>SIN-2026-0067</t>
  </si>
  <si>
    <t>PAYE and SSNIT contributions - May</t>
  </si>
  <si>
    <t>GRA-2026-0009</t>
  </si>
  <si>
    <t>NHL-2026-0066</t>
  </si>
  <si>
    <t>Term loan repayment - principal and interest, instalment 5</t>
  </si>
  <si>
    <t>LN-2026-0005</t>
  </si>
  <si>
    <t>Transfer to fleet replacement reserve</t>
  </si>
  <si>
    <t>JNL-2026-0006</t>
  </si>
  <si>
    <t>Bulk haulage of PMS, Tema-Ho, 9 trips</t>
  </si>
  <si>
    <t>NHL-2026-0067</t>
  </si>
  <si>
    <t>Bulk haulage of LPG, Tema-Kumasi, 3 trips</t>
  </si>
  <si>
    <t>NHL-2026-0068</t>
  </si>
  <si>
    <t>Bulk haulage of PMS, Kumasi-Sunyani, 3 trips</t>
  </si>
  <si>
    <t>NHL-2026-0069</t>
  </si>
  <si>
    <t>NHL-2026-0070</t>
  </si>
  <si>
    <t>Bulk haulage of AGO, Tema-Ho, 8 trips</t>
  </si>
  <si>
    <t>NHL-2026-0071</t>
  </si>
  <si>
    <t>NHL-2026-0072</t>
  </si>
  <si>
    <t>VAT and levies remitted to GRA for May period</t>
  </si>
  <si>
    <t>GRA-2026-0010</t>
  </si>
  <si>
    <t>SIN-2026-0068</t>
  </si>
  <si>
    <t>SIN-2026-0069</t>
  </si>
  <si>
    <t>Pinnacle Office Supplies Ltd</t>
  </si>
  <si>
    <t>SIN-2026-0070</t>
  </si>
  <si>
    <t>SIN-2026-0071</t>
  </si>
  <si>
    <t>SIN-2026-0072</t>
  </si>
  <si>
    <t>SIN-2026-0073</t>
  </si>
  <si>
    <t>Diesel (AGO) purchased for own fleet use, 11,900 litres</t>
  </si>
  <si>
    <t>SIN-2026-0074</t>
  </si>
  <si>
    <t>NHL-2026-0073</t>
  </si>
  <si>
    <t>SIN-2026-0075</t>
  </si>
  <si>
    <t>SIN-2026-0076</t>
  </si>
  <si>
    <t>Bulk haulage of PMS, Tema-Takoradi, 8 trips</t>
  </si>
  <si>
    <t>NHL-2026-0074</t>
  </si>
  <si>
    <t>Diesel (AGO) purchased for own fleet use, 10,689 litres</t>
  </si>
  <si>
    <t>SIN-2026-0077</t>
  </si>
  <si>
    <t>SIN-2026-0078</t>
  </si>
  <si>
    <t>SIN-2026-0079</t>
  </si>
  <si>
    <t>Staff salaries and wages - May</t>
  </si>
  <si>
    <t>PAY-2026-0005</t>
  </si>
  <si>
    <t>Diesel (AGO) purchased for own fleet use, 16,878 litres</t>
  </si>
  <si>
    <t>SIN-2026-0080</t>
  </si>
  <si>
    <t>Bulk haulage of ATK, Tema-Bolgatanga, 5 trips</t>
  </si>
  <si>
    <t>NHL-2026-0075</t>
  </si>
  <si>
    <t>Diesel (AGO) purchased for own fleet use, 13,891 litres</t>
  </si>
  <si>
    <t>SIN-2026-0082</t>
  </si>
  <si>
    <t>SIN-2026-0083</t>
  </si>
  <si>
    <t>JNL-2026-0007</t>
  </si>
  <si>
    <t>PAYE and SSNIT contributions - June</t>
  </si>
  <si>
    <t>GRA-2026-0011</t>
  </si>
  <si>
    <t>Diesel (AGO) purchased for own fleet use, 14,322 litres</t>
  </si>
  <si>
    <t>SIN-2026-0084</t>
  </si>
  <si>
    <t>SIN-2026-0085</t>
  </si>
  <si>
    <t>Bulk haulage of PMS, Tema-Kumasi, 6 trips</t>
  </si>
  <si>
    <t>NHL-2026-0076</t>
  </si>
  <si>
    <t>JNL-2026-0008</t>
  </si>
  <si>
    <t>Term loan repayment - principal and interest, instalment 6</t>
  </si>
  <si>
    <t>LN-2026-0006</t>
  </si>
  <si>
    <t>Contract haulage of PMS, Tema-Kumasi; customer withheld income tax at 7.5% on the service fee</t>
  </si>
  <si>
    <t>NHL-2026-0077</t>
  </si>
  <si>
    <t>JNL-2026-0009</t>
  </si>
  <si>
    <t>Diesel (AGO) purchased for own fleet use, 10,984 litres</t>
  </si>
  <si>
    <t>SIN-2026-0086</t>
  </si>
  <si>
    <t>SIN-2026-0087</t>
  </si>
  <si>
    <t>Bulk haulage of LPG, Tema-Takoradi, 5 trips</t>
  </si>
  <si>
    <t>NHL-2026-0078</t>
  </si>
  <si>
    <t>Diesel (AGO) purchased for own fleet use, 6,307 litres</t>
  </si>
  <si>
    <t>SIN-2026-0088</t>
  </si>
  <si>
    <t>Bulk haulage of LPG, Tema-Cape Coast, 8 trips</t>
  </si>
  <si>
    <t>NHL-2026-0079</t>
  </si>
  <si>
    <t>Bulk haulage of LPG, Tema-Cape Coast, 7 trips</t>
  </si>
  <si>
    <t>NHL-2026-0080</t>
  </si>
  <si>
    <t>NHL-2026-0082</t>
  </si>
  <si>
    <t>BNK-2026-0017</t>
  </si>
  <si>
    <t>Diesel (AGO) purchased for own fleet use, 15,416 litres</t>
  </si>
  <si>
    <t>SIN-2026-0089</t>
  </si>
  <si>
    <t>VAT and levies remitted to GRA for June period</t>
  </si>
  <si>
    <t>GRA-2026-0012</t>
  </si>
  <si>
    <t>Diesel (AGO) purchased for own fleet use, 15,812 litres</t>
  </si>
  <si>
    <t>SIN-2026-0090</t>
  </si>
  <si>
    <t>NHL-2026-0083</t>
  </si>
  <si>
    <t>Diesel (AGO) purchased for own fleet use, 13,825 litres</t>
  </si>
  <si>
    <t>SIN-2026-0091</t>
  </si>
  <si>
    <t>SIN-2026-0092</t>
  </si>
  <si>
    <t>Staff salaries and wages - supplementary run</t>
  </si>
  <si>
    <t>SIN-2026-0093</t>
  </si>
  <si>
    <t>Staff salaries and wages - June</t>
  </si>
  <si>
    <t>PAY-2026-0006</t>
  </si>
  <si>
    <t>Bulk haulage of ATK, Tema-Kumasi, 3 trips</t>
  </si>
  <si>
    <t>NHL-2026-0084</t>
  </si>
  <si>
    <t>SIN-2026-0094</t>
  </si>
  <si>
    <t>Bulk haulage of PMS, Tema-Bolgatanga, 3 trips</t>
  </si>
  <si>
    <t>NHL-2026-0085</t>
  </si>
  <si>
    <t>SIN-2026-0095</t>
  </si>
  <si>
    <t>Bulk haulage of LPG, Takoradi-Tamale, 3 trips</t>
  </si>
  <si>
    <t>NHL-2026-0086</t>
  </si>
  <si>
    <t>SIN-2026-0096</t>
  </si>
  <si>
    <t>BNK-2026-0018</t>
  </si>
  <si>
    <t>Bulk haulage of LPG, Takoradi-Wa, 3 trips</t>
  </si>
  <si>
    <t>NHL-2026-0087</t>
  </si>
  <si>
    <t>SIN-2026-0097</t>
  </si>
  <si>
    <t>Bulk haulage of LPG, Takoradi-Wa, 5 trips</t>
  </si>
  <si>
    <t>NHL-2026-0088</t>
  </si>
  <si>
    <t>SIN-2026-0098</t>
  </si>
  <si>
    <t>SIN-2026-0099</t>
  </si>
  <si>
    <t>Diesel (AGO) purchased for own fleet use, 21,498 litres</t>
  </si>
  <si>
    <t>SIN-2026-0100</t>
  </si>
  <si>
    <t>NHL-2026-0089</t>
  </si>
  <si>
    <t>Diesel (AGO) purchased for own fleet use, 8,961 litres</t>
  </si>
  <si>
    <t>SIN-2026-0101</t>
  </si>
  <si>
    <t>Bulk haulage of AGO, Tema-Bolgatanga, 4 trips</t>
  </si>
  <si>
    <t>PAYE and SSNIT contributions - July</t>
  </si>
  <si>
    <t>GRA-2026-0013</t>
  </si>
  <si>
    <t>Bulk haulage of LPG, Tema-Ho, 3 trips</t>
  </si>
  <si>
    <t>NHL-2026-0091</t>
  </si>
  <si>
    <t>Diesel (AGO) purchased for own fleet use, 23,807 litres</t>
  </si>
  <si>
    <t>SIN-2026-0102</t>
  </si>
  <si>
    <t>SIN-2026-0103</t>
  </si>
  <si>
    <t>Term loan repayment - principal and interest, instalment 7</t>
  </si>
  <si>
    <t>LN-2026-0007</t>
  </si>
  <si>
    <t>Bulk haulage of LPG, Tema-Takoradi, 3 trips</t>
  </si>
  <si>
    <t>NHL-2026-0092</t>
  </si>
  <si>
    <t>Bulk haulage of AGO, Takoradi-Tamale, 9 trips</t>
  </si>
  <si>
    <t>NHL-2026-0093</t>
  </si>
  <si>
    <t>Bulk haulage of ATK, Takoradi-Tamale, 5 trips</t>
  </si>
  <si>
    <t>NHL-2026-0094</t>
  </si>
  <si>
    <t>VAT and levies remitted to GRA for July period</t>
  </si>
  <si>
    <t>GRA-2026-0014</t>
  </si>
  <si>
    <t>Bulk haulage of ATK, Tema-Kumasi, 5 trips</t>
  </si>
  <si>
    <t>NHL-2026-0095</t>
  </si>
  <si>
    <t>SIN-2026-0104</t>
  </si>
  <si>
    <t>Diesel (AGO) purchased for own fleet use, 18,492 litres</t>
  </si>
  <si>
    <t>SIN-2026-0105</t>
  </si>
  <si>
    <t>SIN-2026-0106</t>
  </si>
  <si>
    <t>SIN-2026-0107</t>
  </si>
  <si>
    <t>BNK-2026-0020</t>
  </si>
  <si>
    <t>Term haulage contract, ATK, Tema-Takoradi; customer is an appointed VAT withholding agent and retained 7%</t>
  </si>
  <si>
    <t>NHL-2026-0096</t>
  </si>
  <si>
    <t>Staff salaries and wages - July</t>
  </si>
  <si>
    <t>PAY-2026-0007</t>
  </si>
  <si>
    <t>SIN-2026-0108</t>
  </si>
  <si>
    <t>SIN-2026-0109</t>
  </si>
  <si>
    <t>Term haulage contract, ATK, Takoradi-Tamale; customer is an appointed VAT withholding agent and retained 7%</t>
  </si>
  <si>
    <t>NHL-2026-0097</t>
  </si>
  <si>
    <t>BNK-2026-0021</t>
  </si>
  <si>
    <t>NHL-2026-0098</t>
  </si>
  <si>
    <t>Bulk haulage of PMS, Tema-Takoradi, 5 trips</t>
  </si>
  <si>
    <t>NHL-2026-0099</t>
  </si>
  <si>
    <t>Bulk haulage of AGO, Takoradi-Tamale, 7 trips</t>
  </si>
  <si>
    <t>NHL-2026-0100</t>
  </si>
  <si>
    <t>JNL-2026-0010</t>
  </si>
  <si>
    <t>Bulk haulage of PMS, Tema-Cape Coast, 8 trips</t>
  </si>
  <si>
    <t>NHL-2026-0101</t>
  </si>
  <si>
    <t>NHL-2026-0102</t>
  </si>
  <si>
    <t>Diesel (AGO) purchased for own fleet use, 23,485 litres</t>
  </si>
  <si>
    <t>SIN-2026-0110</t>
  </si>
  <si>
    <t>SIN-2026-0111</t>
  </si>
  <si>
    <t>SIN-2026-0112</t>
  </si>
  <si>
    <t>SIN-2026-0113</t>
  </si>
  <si>
    <t>Bulk haulage of PMS, Tema-Takoradi, 2 trips</t>
  </si>
  <si>
    <t>NHL-2026-0103</t>
  </si>
  <si>
    <t>Bulk haulage of ATK, Tema-Kumasi, 4 trips</t>
  </si>
  <si>
    <t>NHL-2026-0104</t>
  </si>
  <si>
    <t>Diesel (AGO) purchased for own fleet use, 20,427 litres</t>
  </si>
  <si>
    <t>SIN-2026-0114</t>
  </si>
  <si>
    <t>BNK-2026-0022</t>
  </si>
  <si>
    <t>PAYE and SSNIT contributions - August</t>
  </si>
  <si>
    <t>GRA-2026-0015</t>
  </si>
  <si>
    <t>Term loan repayment - principal and interest, instalment 8</t>
  </si>
  <si>
    <t>LN-2026-0008</t>
  </si>
  <si>
    <t>Bulk haulage of LPG, Tema-Bolgatanga, 3 trips</t>
  </si>
  <si>
    <t>NHL-2026-0105</t>
  </si>
  <si>
    <t>BNK-2026-0023</t>
  </si>
  <si>
    <t>Bulk haulage of PMS, Takoradi-Wa, 5 trips</t>
  </si>
  <si>
    <t>NHL-2026-0106</t>
  </si>
  <si>
    <t>Bulk haulage of AGO, Kumasi-Sunyani, 2 trips</t>
  </si>
  <si>
    <t>NHL-2026-0107</t>
  </si>
  <si>
    <t>SIN-2026-0115</t>
  </si>
  <si>
    <t>VAT and levies remitted to GRA for August period</t>
  </si>
  <si>
    <t>GRA-2026-0016</t>
  </si>
  <si>
    <t>NHL-2026-0108</t>
  </si>
  <si>
    <t>SIN-2026-0116</t>
  </si>
  <si>
    <t>Diesel (AGO) purchased for own fleet use, 20,972 litres</t>
  </si>
  <si>
    <t>SIN-2026-0117</t>
  </si>
  <si>
    <t>Bulk haulage of AGO, Tema-Kumasi, 3 trips</t>
  </si>
  <si>
    <t>NHL-2026-0109</t>
  </si>
  <si>
    <t>Bulk haulage of ATK, Tema-Takoradi, 6 trips</t>
  </si>
  <si>
    <t>NHL-2026-0110</t>
  </si>
  <si>
    <t>Diesel (AGO) purchased for own fleet use, 16,544 litres</t>
  </si>
  <si>
    <t>SIN-2026-0118</t>
  </si>
  <si>
    <t>NHL-2026-0111</t>
  </si>
  <si>
    <t>Bulk haulage of PMS, Takoradi-Tamale, 5 trips</t>
  </si>
  <si>
    <t>NHL-2026-0112</t>
  </si>
  <si>
    <t>SIN-2026-0119</t>
  </si>
  <si>
    <t>BNK-2026-0024</t>
  </si>
  <si>
    <t>SIN-2026-0120</t>
  </si>
  <si>
    <t>SIN-2026-0121</t>
  </si>
  <si>
    <t>Staff salaries and wages - August</t>
  </si>
  <si>
    <t>PAY-2026-0008</t>
  </si>
  <si>
    <t>NHL-2026-0113</t>
  </si>
  <si>
    <t>All amounts in GHS. Amount is tax-exclusive. Tax Charged on Invoice is the figure as recorded on the source document — it is deliberately NOT a formula, so Error_Flags can compare it against the Expected columns.</t>
  </si>
  <si>
    <t>Error Key  •  Answer sheet for the 12 errors seeded into the Ledger  •  Restricted</t>
  </si>
  <si>
    <t>CONTROL TESTING AID — These errors were deliberately planted so the Error_Flags controls can be proven to work. The Ledger itself carries no marking. Withhold this sheet from anyone testing the controls.</t>
  </si>
  <si>
    <t>Error type</t>
  </si>
  <si>
    <t>Correct value</t>
  </si>
  <si>
    <t>Recorded category</t>
  </si>
  <si>
    <t>Invoice on Ledger</t>
  </si>
  <si>
    <t>How the error was introduced</t>
  </si>
  <si>
    <t>Wrong tax category</t>
  </si>
  <si>
    <t>Recorded IN_STD; the transaction is an exempt supply</t>
  </si>
  <si>
    <t>Duplicate invoice number</t>
  </si>
  <si>
    <t>NHL-2026-0034</t>
  </si>
  <si>
    <t>Re-uses NHL-2026-0090, already issued on Row ID 242</t>
  </si>
  <si>
    <t>Missing invoice number</t>
  </si>
  <si>
    <t>NHL-2026-0044</t>
  </si>
  <si>
    <t>(blank)</t>
  </si>
  <si>
    <t>Invoice number left blank on capture</t>
  </si>
  <si>
    <t>SIN-2026-0034</t>
  </si>
  <si>
    <t>Re-uses SIN-2026-0081, already issued on Row ID 197</t>
  </si>
  <si>
    <t>Wrong tax amount</t>
  </si>
  <si>
    <t>Tax charged on an exempt supply; expected nil</t>
  </si>
  <si>
    <t>SIN-2026-0040</t>
  </si>
  <si>
    <t>Digits transposed when the invoice was keyed (845.60 entered)</t>
  </si>
  <si>
    <t>NHL-2026-0081</t>
  </si>
  <si>
    <t>Contract haulage of ATK, Takoradi-Tamale; income tax withheld</t>
  </si>
  <si>
    <t>Re-uses NHL-2026-0072, already issued on Row ID 179</t>
  </si>
  <si>
    <t>Recorded IN_STD; the payment is outside the scope of VAT</t>
  </si>
  <si>
    <t>VAT charged at 15% only; NHIL and GETFund omitted (10,792.80 entered)</t>
  </si>
  <si>
    <t>BNK-2026-0019</t>
  </si>
  <si>
    <t>WHT_GOODS</t>
  </si>
  <si>
    <t>Purchase of goods with income tax withheld</t>
  </si>
  <si>
    <t>Standard-rated (input)</t>
  </si>
  <si>
    <t>A standard-rated purchase of goods from a resident supplier where the company must deduct income tax at source before paying. The VAT position and the withholding position are separate: VAT is charged on the supply in the normal way, while income tax is withheld from the payment.</t>
  </si>
  <si>
    <t>Input VAT, NHIL and GETFund are recoverable in the normal way. The amount withheld is an income tax credit for the supplier, not a reduction of VAT. Withhold only once cumulative payments to the supplier pass the GHS 2,000 annual threshold.</t>
  </si>
  <si>
    <t>WHT_WORKS</t>
  </si>
  <si>
    <t>Works contract with income tax withheld</t>
  </si>
  <si>
    <t>A standard-rated works contract, such as depot civil works or tank construction, from which the company must deduct income tax at source before paying the contractor.</t>
  </si>
  <si>
    <t>Input VAT, NHIL and GETFund are recoverable in the normal way. The amount withheld is an income tax credit for the contractor and does not affect the VAT return. Subject to the same GHS 2,000 cumulative threshold.</t>
  </si>
  <si>
    <t>OUT_EXEMPT</t>
  </si>
  <si>
    <t>Exempt supply made by the company</t>
  </si>
  <si>
    <t>Exempt (output)</t>
  </si>
  <si>
    <t>A sale by the company that is exempt from VAT, so no VAT, NHIL or GETFund is charged to the customer and none appears on the invoice.</t>
  </si>
  <si>
    <t>No output tax arises. Unlike a zero-rated supply, input tax attributable to making this supply is NOT recoverable and must be excluded from the input tax claim, which may require an apportionment where the company makes both exempt and taxable supplies.</t>
  </si>
  <si>
    <t>Exempt supplies — First Schedule (exempt supplies list)</t>
  </si>
  <si>
    <t>Rate Named Range</t>
  </si>
  <si>
    <t>Rate</t>
  </si>
  <si>
    <t>None - exempt</t>
  </si>
  <si>
    <t>None - outside scope</t>
  </si>
  <si>
    <t>None - zero-rated</t>
  </si>
  <si>
    <t>Sheet 4 of 6  •  Monthly VAT &amp; Levy Reconciliation  •  Simulation period January to August 2026</t>
  </si>
  <si>
    <t>SIMULATION ONLY — figures are fictitious. Every amount below is a formula reading the Ledger; nothing on this sheet is typed. Not a filed return and not tax advice.</t>
  </si>
  <si>
    <t>A.  MONTHLY VAT AND LEVY RECONCILIATION</t>
  </si>
  <si>
    <t>OUTPUT TAX — charged on supplies made</t>
  </si>
  <si>
    <t>INPUT TAX — incurred on supplies received</t>
  </si>
  <si>
    <t>Month</t>
  </si>
  <si>
    <t>Output VAT</t>
  </si>
  <si>
    <t>Output NHIL</t>
  </si>
  <si>
    <t>Output GETFund</t>
  </si>
  <si>
    <t>Input VAT</t>
  </si>
  <si>
    <t>Input NHIL</t>
  </si>
  <si>
    <t>Input GETFund</t>
  </si>
  <si>
    <t>Net VAT Payable / (Recoverable)</t>
  </si>
  <si>
    <t>Sense check</t>
  </si>
  <si>
    <t>Ledger Direction filter applied →</t>
  </si>
  <si>
    <t>TOTAL  Jan–Aug</t>
  </si>
  <si>
    <t>B.  CONTROL CHECKS — completeness and tie-out to the Ledger</t>
  </si>
  <si>
    <t>1.  Every Ledger transaction falls inside the eight months reported above</t>
  </si>
  <si>
    <t>2.  Total Output VAT ties to the Ledger's Expected VAT on all money-in rows</t>
  </si>
  <si>
    <t>5.  Monthly Net VAT figures add back to the Total row</t>
  </si>
  <si>
    <t>6.  Eight distinct months are reported, with no gap or repeat</t>
  </si>
  <si>
    <t>C.  MEMORANDA AND BASIS OF PREPARATION</t>
  </si>
  <si>
    <t>Memorandum item</t>
  </si>
  <si>
    <t>Amount (GHS)</t>
  </si>
  <si>
    <t>Output tax withheld at source by appointed VAT withholding agents (a payment credit, not a reduction of output tax)</t>
  </si>
  <si>
    <t>Basis of preparation and how to read this sheet</t>
  </si>
  <si>
    <t>1.  No category code is written into any formula on this sheet. Each sum tests the Ledger's Tax Category against the Categories sheet and reads the Charges VAT flag from there, so adding or reclassifying a category updates this reconciliation automatically.</t>
  </si>
  <si>
    <t>2.  The Direction filter is held in row 8 rather than inside the formulas. The Ledger records direction as Inflow and Outflow, so those are the values used; change row 8 if the Ledger's wording ever changes.</t>
  </si>
  <si>
    <t>3.  Rates are never typed here. Output and input tax are read from the Ledger's Expected VAT, Expected NHIL and Expected GETFund columns, which in turn read VAT_Rate, NHIL_Rate and GETFund_Rate on the Assumptions sheet.</t>
  </si>
  <si>
    <t>4.  Net VAT Payable is total output tax less total input tax. A negative figure means a net credit is due from the GRA. For a haulage company charging output tax on most of its revenue, that should be rare; an amber cell is a prompt to investigate, not a statement that something is wrong.</t>
  </si>
  <si>
    <t>6.  VAT withheld at source by appointed agents does not reduce output tax. It is a payment credit claimed on the return, shown as a memorandum only.</t>
  </si>
  <si>
    <t>Recoverable</t>
  </si>
  <si>
    <t>3.  Total Input VAT ties to the Ledger's Expected VAT on money-out rows in recoverable categories</t>
  </si>
  <si>
    <t>4.  Total expected tax per the Ledger equals output tax, plus input tax reported, plus input tax excluded as non-recoverable</t>
  </si>
  <si>
    <t>7.  Input tax excluded from columns F to H because the category is not recoverable</t>
  </si>
  <si>
    <t>5.  Input tax is gated on the Recoverable flag on the Categories sheet, not merely on Charges VAT. Tax incurred on non-recoverable categories is therefore excluded from columns F to H altogether, which is the correct treatment for a return. Control check 7 shows the amount excluded and proves it reconciles.</t>
  </si>
  <si>
    <t>Sheet 5 of 6  •  Error_Flags — Automated Exception Report  •  Simulated data</t>
  </si>
  <si>
    <t>Every flag is calculated from the Ledger. Nothing here is marked by hand. Change a test parameter in section A and the whole report re-runs.</t>
  </si>
  <si>
    <t>A.  EXCEPTION TEST PARAMETERS  —  the only inputs on this sheet</t>
  </si>
  <si>
    <t>Categories where an invoice number is not required</t>
  </si>
  <si>
    <t>Categories excluded from the duplicate-invoice test</t>
  </si>
  <si>
    <t>Tolerance on the tax comparison (GHS)</t>
  </si>
  <si>
    <t>Category prefix expected on money-in (Inflow) rows</t>
  </si>
  <si>
    <t>OUT_</t>
  </si>
  <si>
    <t>Category prefix expected on money-out (Outflow) rows</t>
  </si>
  <si>
    <t>IN_</t>
  </si>
  <si>
    <t>C.  EXCEPTION DETAIL  —  one row per Ledger transaction, 300 rows</t>
  </si>
  <si>
    <t>LEDGER EXTRACT  —  pulled from the Ledger, shown so each flag can be checked without leaving this sheet</t>
  </si>
  <si>
    <t>EXCEPTION FLAGS</t>
  </si>
  <si>
    <t>Tax Charged</t>
  </si>
  <si>
    <t>In Duplicate Scope</t>
  </si>
  <si>
    <t>Missing Invoice</t>
  </si>
  <si>
    <t>Duplicate Invoice</t>
  </si>
  <si>
    <t>Wrong Tax Amount</t>
  </si>
  <si>
    <t>Wrong Category Signal</t>
  </si>
  <si>
    <t>Any Flag</t>
  </si>
  <si>
    <t>B.  SUMMARY  —  exceptions found</t>
  </si>
  <si>
    <t>Exception type</t>
  </si>
  <si>
    <t>Rows flagged</t>
  </si>
  <si>
    <t>Seeded in Error_Key</t>
  </si>
  <si>
    <t>Detection status</t>
  </si>
  <si>
    <t>Wrong category signal</t>
  </si>
  <si>
    <t>Total distinct rows flagged (Any Flag = Yes)</t>
  </si>
  <si>
    <t>Rows tested (should equal the Ledger row count)</t>
  </si>
  <si>
    <t>Seeded rows actually detected</t>
  </si>
  <si>
    <t>Categories subject to the keyword test</t>
  </si>
  <si>
    <t>Keywords suggesting a non-recoverable or out-of-scope item</t>
  </si>
  <si>
    <t>salary</t>
  </si>
  <si>
    <t>salaries</t>
  </si>
  <si>
    <t>insurance</t>
  </si>
  <si>
    <t>fuel</t>
  </si>
  <si>
    <t>diesel</t>
  </si>
  <si>
    <t>petrol</t>
  </si>
  <si>
    <t>hospitality</t>
  </si>
  <si>
    <t>refreshment</t>
  </si>
  <si>
    <t>Add or remove keywords above — the Suspect Category test re-runs immediately. Matching ignores letter case and finds the keyword anywhere in the Description or Counterparty.</t>
  </si>
  <si>
    <t>Suspect Category</t>
  </si>
  <si>
    <t>Suspect category (keyword test)</t>
  </si>
  <si>
    <t>Sheet 6 of 6  •  Cash_Flow — Monthly Cash Flow Summary  •  All amounts in GHS  •  Simulated data</t>
  </si>
  <si>
    <t>Cash movements are the tax-exclusive Amount column of the Ledger, split by Direction. Every figure is a formula reading the Ledger table; only the cells shaded cream are inputs.</t>
  </si>
  <si>
    <t>A.  OPENING POSITION AND PARAMETERS  —  the only inputs on this sheet</t>
  </si>
  <si>
    <t>Opening cash balance at the start of the period (GHS)</t>
  </si>
  <si>
    <t>January's Opening Balance reads this cell. Set it to the actual bank position to run the sheet on real data.</t>
  </si>
  <si>
    <t>Ledger Direction label for money in</t>
  </si>
  <si>
    <t>Ledger Direction label for money out</t>
  </si>
  <si>
    <t>Tax authority counterparty name, as recorded in the Ledger</t>
  </si>
  <si>
    <t>B.  MONTHLY CASH FLOW  —  January to August of the ledger year</t>
  </si>
  <si>
    <t>Inflows</t>
  </si>
  <si>
    <t>Outflows</t>
  </si>
  <si>
    <t>Net Cash Flow</t>
  </si>
  <si>
    <t>Opening Balance</t>
  </si>
  <si>
    <t>Closing Balance</t>
  </si>
  <si>
    <t>C.  TAX MEMORANDUM  —  tax flows relating to the period, shown separately from cash</t>
  </si>
  <si>
    <t>Total tax collected on sales (output VAT, NHIL and GETFund per VAT_Recon)</t>
  </si>
  <si>
    <t>Total tax withheld at source by appointed VAT withholding agents (per VAT_Recon memo)</t>
  </si>
  <si>
    <t>Tax collected but not yet settled (collected, less paid, less withheld at source)</t>
  </si>
  <si>
    <t>D.  CONTROL CHECKS</t>
  </si>
  <si>
    <t>1.  Inflows plus outflows equal the total Amount recorded in the Ledger</t>
  </si>
  <si>
    <t>2.  Every Ledger transaction falls inside the months reported here</t>
  </si>
  <si>
    <t>3.  Every Ledger row carries one of the two Direction labels in section A</t>
  </si>
  <si>
    <t>4.  Closing balance equals the opening balance plus total net cash flow</t>
  </si>
  <si>
    <t>5.  Eight distinct months are reported, with no gaps</t>
  </si>
  <si>
    <t>E.  BASIS OF PREPARATION</t>
  </si>
  <si>
    <t>1.  Inflows and outflows are the tax-exclusive Amount column of the Ledger, split by the Direction labels held in section A. They are not the gross invoiced amounts, so the totals here will not equal the Gross Amount column of the Ledger.</t>
  </si>
  <si>
    <t>2.  Months are generated from the Ledger year on the Assumptions sheet. January reads the Opening Balance input; every later month reads the preceding month's Closing Balance, so the roll-forward is continuous and control check 4 proves it ties.</t>
  </si>
  <si>
    <t>3.  A negative Net Cash Flow is flagged amber as a sense check, not as an error. A haulage business can legitimately have a cash-negative month when fleet costs, payroll and loan instalments fall together.</t>
  </si>
  <si>
    <t>5.  This workbook is a simulation built on fictitious data. It is a control and reporting tool, not tax advice. Confirm all rates and treatments with the Ghana Revenue Authority before filing.</t>
  </si>
  <si>
    <t>Description keywords identifying a tax remittance</t>
  </si>
  <si>
    <t>remitted</t>
  </si>
  <si>
    <t>PAYE</t>
  </si>
  <si>
    <t>Both words are matched anywhere in the Ledger Description, ignoring case.</t>
  </si>
  <si>
    <t>Total tax paid to GRA in the period (VAT and levy remittances, PAYE and SSNIT, and withholding tax remitted)</t>
  </si>
  <si>
    <t>4.  Tax paid to GRA is summed from the Ledger itself: outflows to the counterparty named in section A whose description contains either remittance keyword held there. On the current data it captures 18 rows — eight monthly VAT and levy remittances, eight PAYE and SSNIT payments and two withholding tax remittances. Payments to that counterparty which are not tax settlements are excluded by the keyword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</si>
</sst>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mmm\-yyyy"/>
    <numFmt numFmtId="165" formatCode="&quot;GHS &quot;#,##0"/>
    <numFmt numFmtId="166" formatCode="#,##0.00;\(#,##0.00\);&quot;-&quot;"/>
    <numFmt numFmtId="167" formatCode="0.0%"/>
    <numFmt numFmtId="168" formatCode="mmmm\ yyyy"/>
    <numFmt numFmtId="169" formatCode="#,##0.00;\(#,##0.00\);&quot;–&quot;"/>
  </numFmts>
  <fonts count="42" x14ac:knownFonts="1">
    <font>
      <sz val="11"/>
      <color theme="1"/>
      <name val="Aptos Narrow"/>
      <family val="2"/>
      <scheme val="minor"/>
    </font>
    <font>
      <sz val="11"/>
      <color rgb="FF9C0006"/>
      <name val="Aptos Narrow"/>
      <family val="2"/>
      <scheme val="minor"/>
    </font>
    <font>
      <b/>
      <sz val="11"/>
      <color theme="1"/>
      <name val="Aptos Narrow"/>
      <family val="2"/>
      <scheme val="minor"/>
    </font>
    <font>
      <sz val="11"/>
      <color rgb="FFFFFFFF"/>
      <name val="Aptos Narrow"/>
      <family val="2"/>
      <scheme val="minor"/>
    </font>
    <font>
      <b/>
      <sz val="18"/>
      <color rgb="FFFFFFFF"/>
      <name val="Calibri"/>
    </font>
    <font>
      <sz val="11"/>
      <color rgb="FFFFFFFF"/>
      <name val="Calibri"/>
    </font>
    <font>
      <b/>
      <sz val="10"/>
      <color rgb="FF9C0006"/>
      <name val="Calibri"/>
    </font>
    <font>
      <b/>
      <sz val="12"/>
      <color rgb="FFFFFFFF"/>
      <name val="Aptos Narrow"/>
      <family val="2"/>
      <scheme val="minor"/>
    </font>
    <font>
      <b/>
      <sz val="11"/>
      <color rgb="FFFFFFFF"/>
      <name val="Aptos Narrow"/>
      <family val="2"/>
      <scheme val="minor"/>
    </font>
    <font>
      <sz val="11"/>
      <color rgb="FF0000FF"/>
      <name val="Aptos Narrow"/>
      <family val="2"/>
      <scheme val="minor"/>
    </font>
    <font>
      <sz val="9"/>
      <color indexed="81"/>
      <name val="Tahoma"/>
      <charset val="1"/>
    </font>
    <font>
      <b/>
      <sz val="9"/>
      <color indexed="81"/>
      <name val="Tahoma"/>
      <charset val="1"/>
    </font>
    <font>
      <sz val="11"/>
      <color rgb="FF000000"/>
      <name val="Aptos Narrow"/>
      <family val="2"/>
      <scheme val="minor"/>
    </font>
    <font>
      <sz val="11"/>
      <color rgb="FF008000"/>
      <name val="Aptos Narrow"/>
      <family val="2"/>
      <scheme val="minor"/>
    </font>
    <font>
      <b/>
      <sz val="11"/>
      <color rgb="FF9C0006"/>
      <name val="Aptos Narrow"/>
      <family val="2"/>
      <scheme val="minor"/>
    </font>
    <font>
      <i/>
      <sz val="11"/>
      <color rgb="FF595959"/>
      <name val="Aptos Narrow"/>
      <family val="2"/>
      <scheme val="minor"/>
    </font>
    <font>
      <b/>
      <sz val="11"/>
      <color rgb="FF0000FF"/>
      <name val="Aptos Narrow"/>
      <family val="2"/>
      <scheme val="minor"/>
    </font>
    <font>
      <sz val="10"/>
      <color theme="1"/>
      <name val="Consolas"/>
    </font>
    <font>
      <b/>
      <sz val="11"/>
      <color rgb="FF000000"/>
      <name val="Aptos Narrow"/>
      <family val="2"/>
      <scheme val="minor"/>
    </font>
    <font>
      <i/>
      <sz val="10"/>
      <color rgb="FF808080"/>
      <name val="Consolas"/>
    </font>
    <font>
      <i/>
      <sz val="11"/>
      <color rgb="FF808080"/>
      <name val="Aptos Narrow"/>
      <family val="2"/>
      <scheme val="minor"/>
    </font>
    <font>
      <b/>
      <i/>
      <sz val="11"/>
      <color rgb="FF808080"/>
      <name val="Aptos Narrow"/>
      <family val="2"/>
      <scheme val="minor"/>
    </font>
    <font>
      <sz val="10"/>
      <color theme="1"/>
      <name val="Aptos Narrow"/>
      <family val="2"/>
      <scheme val="minor"/>
    </font>
    <font>
      <i/>
      <sz val="10"/>
      <color rgb="FF808080"/>
      <name val="Aptos Narrow"/>
      <family val="2"/>
      <scheme val="minor"/>
    </font>
    <font>
      <b/>
      <sz val="10"/>
      <color rgb="FF9C0006"/>
      <name val="Aptos Narrow"/>
      <family val="2"/>
      <scheme val="minor"/>
    </font>
    <font>
      <sz val="10"/>
      <color rgb="FF9C6500"/>
      <name val="Aptos Narrow"/>
      <family val="2"/>
      <scheme val="minor"/>
    </font>
    <font>
      <sz val="10"/>
      <color rgb="FF000000"/>
      <name val="Aptos Narrow"/>
      <family val="2"/>
      <scheme val="minor"/>
    </font>
    <font>
      <b/>
      <sz val="18"/>
      <color rgb="FFFFFFFF"/>
      <name val="Aptos Narrow"/>
      <family val="2"/>
      <scheme val="minor"/>
    </font>
    <font>
      <sz val="10"/>
      <color rgb="FFFFFFFF"/>
      <name val="Aptos Narrow"/>
      <family val="2"/>
      <scheme val="minor"/>
    </font>
    <font>
      <b/>
      <sz val="9"/>
      <color rgb="FF9C0006"/>
      <name val="Aptos Narrow"/>
      <family val="2"/>
      <scheme val="minor"/>
    </font>
    <font>
      <i/>
      <sz val="9"/>
      <color rgb="FF595959"/>
      <name val="Aptos Narrow"/>
      <family val="2"/>
      <scheme val="minor"/>
    </font>
    <font>
      <sz val="8"/>
      <name val="Aptos Narrow"/>
      <family val="2"/>
      <scheme val="minor"/>
    </font>
    <font>
      <i/>
      <sz val="9"/>
      <color rgb="FF404040"/>
      <name val="Aptos Narrow"/>
      <family val="2"/>
      <scheme val="minor"/>
    </font>
    <font>
      <i/>
      <sz val="9"/>
      <color rgb="FF0000FF"/>
      <name val="Aptos Narrow"/>
      <family val="2"/>
      <scheme val="minor"/>
    </font>
    <font>
      <b/>
      <sz val="10"/>
      <color rgb="FFFFFFFF"/>
      <name val="Aptos Narrow"/>
      <family val="2"/>
      <scheme val="minor"/>
    </font>
    <font>
      <b/>
      <sz val="11"/>
      <color rgb="FF9C6500"/>
      <name val="Aptos Narrow"/>
      <family val="2"/>
      <scheme val="minor"/>
    </font>
    <font>
      <b/>
      <sz val="11"/>
      <color rgb="FF1F3864"/>
      <name val="Aptos Narrow"/>
      <family val="2"/>
      <scheme val="minor"/>
    </font>
    <font>
      <i/>
      <sz val="10"/>
      <color rgb="FF833C00"/>
      <name val="Aptos Narrow"/>
      <family val="2"/>
      <scheme val="minor"/>
    </font>
    <font>
      <sz val="11"/>
      <color rgb="FF808080"/>
      <name val="Aptos Narrow"/>
      <family val="2"/>
      <scheme val="minor"/>
    </font>
    <font>
      <b/>
      <i/>
      <sz val="9"/>
      <color rgb="FF808080"/>
      <name val="Aptos Narrow"/>
      <family val="2"/>
      <scheme val="minor"/>
    </font>
    <font>
      <i/>
      <sz val="9"/>
      <color rgb="FF808080"/>
      <name val="Aptos Narrow"/>
      <family val="2"/>
      <scheme val="minor"/>
    </font>
    <font>
      <b/>
      <sz val="11"/>
      <color rgb="FF008000"/>
      <name val="Aptos Narrow"/>
      <family val="2"/>
      <scheme val="minor"/>
    </font>
  </fonts>
  <fills count="15">
    <fill>
      <patternFill patternType="none"/>
    </fill>
    <fill>
      <patternFill patternType="gray125"/>
    </fill>
    <fill>
      <patternFill patternType="solid">
        <fgColor rgb="FF1F3864"/>
        <bgColor indexed="64"/>
      </patternFill>
    </fill>
    <fill>
      <patternFill patternType="solid">
        <fgColor rgb="FF2E5496"/>
        <bgColor indexed="64"/>
      </patternFill>
    </fill>
    <fill>
      <patternFill patternType="solid">
        <fgColor rgb="FFFFC7CE"/>
        <bgColor indexed="64"/>
      </patternFill>
    </fill>
    <fill>
      <patternFill patternType="solid">
        <fgColor rgb="FF8496B0"/>
        <bgColor indexed="64"/>
      </patternFill>
    </fill>
    <fill>
      <patternFill patternType="solid">
        <fgColor rgb="FFFFF2CC"/>
        <bgColor indexed="64"/>
      </patternFill>
    </fill>
    <fill>
      <patternFill patternType="solid">
        <fgColor rgb="FFFFFFFF"/>
        <bgColor indexed="64"/>
      </patternFill>
    </fill>
    <fill>
      <patternFill patternType="solid">
        <fgColor rgb="FFD9D9D9"/>
        <bgColor indexed="64"/>
      </patternFill>
    </fill>
    <fill>
      <patternFill patternType="solid">
        <fgColor rgb="FFFFEB9C"/>
        <bgColor indexed="64"/>
      </patternFill>
    </fill>
    <fill>
      <patternFill patternType="solid">
        <fgColor rgb="FFEDEDED"/>
        <bgColor indexed="64"/>
      </patternFill>
    </fill>
    <fill>
      <patternFill patternType="solid">
        <fgColor rgb="FFC00000"/>
        <bgColor indexed="64"/>
      </patternFill>
    </fill>
    <fill>
      <patternFill patternType="solid">
        <fgColor rgb="FF548235"/>
        <bgColor indexed="64"/>
      </patternFill>
    </fill>
    <fill>
      <patternFill patternType="solid">
        <fgColor rgb="FFBF8F00"/>
        <bgColor indexed="64"/>
      </patternFill>
    </fill>
    <fill>
      <patternFill patternType="solid">
        <fgColor rgb="FFF2F2F2"/>
        <bgColor indexed="64"/>
      </patternFill>
    </fill>
  </fills>
  <borders count="22">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auto="1"/>
      </bottom>
      <diagonal/>
    </border>
    <border>
      <left style="thin">
        <color rgb="FFBFBFBF"/>
      </left>
      <right style="thin">
        <color rgb="FFBFBFBF"/>
      </right>
      <top style="thin">
        <color rgb="FFBFBFBF"/>
      </top>
      <bottom style="thin">
        <color auto="1"/>
      </bottom>
      <diagonal/>
    </border>
    <border>
      <left style="thin">
        <color rgb="FFBFBFBF"/>
      </left>
      <right/>
      <top style="thin">
        <color rgb="FFBFBFBF"/>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rgb="FFD9D9D9"/>
      </bottom>
      <diagonal/>
    </border>
    <border>
      <left/>
      <right/>
      <top style="thin">
        <color rgb="FFD9D9D9"/>
      </top>
      <bottom style="thin">
        <color rgb="FFD9D9D9"/>
      </bottom>
      <diagonal/>
    </border>
    <border>
      <left/>
      <right/>
      <top style="thin">
        <color rgb="FFD9D9D9"/>
      </top>
      <bottom/>
      <diagonal/>
    </border>
  </borders>
  <cellStyleXfs count="1">
    <xf numFmtId="0" fontId="0" fillId="0" borderId="0"/>
  </cellStyleXfs>
  <cellXfs count="203">
    <xf numFmtId="0" fontId="0" fillId="0" borderId="0" xfId="0"/>
    <xf numFmtId="0" fontId="2" fillId="0" borderId="0" xfId="0" applyFont="1"/>
    <xf numFmtId="0" fontId="0" fillId="0" borderId="0" xfId="0" applyAlignment="1">
      <alignment vertical="center"/>
    </xf>
    <xf numFmtId="0" fontId="0" fillId="0" borderId="0" xfId="0" applyAlignment="1">
      <alignment wrapText="1"/>
    </xf>
    <xf numFmtId="0" fontId="0" fillId="0" borderId="0" xfId="0" applyAlignment="1">
      <alignment horizontal="center"/>
    </xf>
    <xf numFmtId="164" fontId="0" fillId="0" borderId="0" xfId="0" applyNumberFormat="1" applyAlignment="1">
      <alignment horizontal="center"/>
    </xf>
    <xf numFmtId="0" fontId="0" fillId="0" borderId="0" xfId="0" applyAlignment="1">
      <alignment horizontal="center" wrapText="1"/>
    </xf>
    <xf numFmtId="0" fontId="4" fillId="2" borderId="0" xfId="0" applyFont="1" applyFill="1" applyAlignment="1" applyProtection="1">
      <alignment vertical="center" indent="1"/>
    </xf>
    <xf numFmtId="0" fontId="5" fillId="3" borderId="0" xfId="0" applyFont="1" applyFill="1" applyAlignment="1" applyProtection="1">
      <alignment vertical="center" indent="1"/>
    </xf>
    <xf numFmtId="0" fontId="6" fillId="4" borderId="0" xfId="0" applyFont="1" applyFill="1" applyAlignment="1" applyProtection="1">
      <alignment vertical="center" wrapText="1" indent="1"/>
    </xf>
    <xf numFmtId="0" fontId="6" fillId="4" borderId="0" xfId="0" applyFont="1" applyFill="1" applyAlignment="1" applyProtection="1">
      <alignment vertical="center" indent="1"/>
    </xf>
    <xf numFmtId="0" fontId="0" fillId="0" borderId="0" xfId="0" applyProtection="1"/>
    <xf numFmtId="0" fontId="7" fillId="3" borderId="0" xfId="0" applyFont="1" applyFill="1" applyAlignment="1" applyProtection="1">
      <alignment vertical="center" indent="1"/>
    </xf>
    <xf numFmtId="0" fontId="8" fillId="5" borderId="4" xfId="0" applyFont="1" applyFill="1" applyBorder="1" applyAlignment="1" applyProtection="1">
      <alignment vertical="center"/>
    </xf>
    <xf numFmtId="0" fontId="8" fillId="5" borderId="5" xfId="0" applyFont="1" applyFill="1" applyBorder="1" applyAlignment="1" applyProtection="1">
      <alignment vertical="center"/>
    </xf>
    <xf numFmtId="0" fontId="8" fillId="5" borderId="5" xfId="0" applyFont="1" applyFill="1" applyBorder="1" applyAlignment="1" applyProtection="1">
      <alignment horizontal="center" vertical="center"/>
    </xf>
    <xf numFmtId="0" fontId="8" fillId="5" borderId="6" xfId="0" applyFont="1" applyFill="1" applyBorder="1" applyAlignment="1" applyProtection="1">
      <alignment vertical="center"/>
    </xf>
    <xf numFmtId="0" fontId="2" fillId="0" borderId="7" xfId="0" applyFont="1" applyBorder="1" applyAlignment="1" applyProtection="1">
      <alignment vertical="center"/>
    </xf>
    <xf numFmtId="0" fontId="2" fillId="0" borderId="8" xfId="0" applyFont="1" applyBorder="1" applyAlignment="1" applyProtection="1">
      <alignment vertical="center"/>
    </xf>
    <xf numFmtId="0" fontId="15" fillId="0" borderId="8" xfId="0" applyFont="1" applyBorder="1" applyAlignment="1" applyProtection="1">
      <alignment vertical="center"/>
    </xf>
    <xf numFmtId="0" fontId="15" fillId="0" borderId="9" xfId="0" applyFont="1" applyBorder="1" applyAlignment="1" applyProtection="1">
      <alignment vertical="center"/>
    </xf>
    <xf numFmtId="0" fontId="2" fillId="0" borderId="10" xfId="0" applyFont="1" applyBorder="1" applyAlignment="1" applyProtection="1">
      <alignment vertical="center"/>
    </xf>
    <xf numFmtId="0" fontId="2" fillId="0" borderId="11" xfId="0" applyFont="1" applyBorder="1" applyAlignment="1" applyProtection="1">
      <alignment vertical="center"/>
    </xf>
    <xf numFmtId="0" fontId="15" fillId="0" borderId="11" xfId="0" applyFont="1" applyBorder="1" applyAlignment="1" applyProtection="1">
      <alignment vertical="center"/>
    </xf>
    <xf numFmtId="0" fontId="15" fillId="0" borderId="12" xfId="0" applyFont="1" applyBorder="1" applyAlignment="1" applyProtection="1">
      <alignment vertical="center"/>
    </xf>
    <xf numFmtId="0" fontId="0" fillId="0" borderId="0" xfId="0" applyAlignment="1" applyProtection="1">
      <alignment vertical="center" wrapText="1"/>
    </xf>
    <xf numFmtId="0" fontId="9" fillId="6" borderId="0" xfId="0" applyFont="1" applyFill="1" applyAlignment="1" applyProtection="1">
      <alignment horizontal="center" vertical="center" wrapText="1"/>
    </xf>
    <xf numFmtId="0" fontId="17" fillId="0" borderId="0" xfId="0" applyFont="1" applyAlignment="1" applyProtection="1">
      <alignment vertical="top"/>
    </xf>
    <xf numFmtId="0" fontId="0" fillId="0" borderId="0" xfId="0" applyAlignment="1" applyProtection="1">
      <alignment vertical="top" wrapText="1"/>
    </xf>
    <xf numFmtId="0" fontId="22" fillId="0" borderId="0" xfId="0" applyFont="1" applyAlignment="1" applyProtection="1">
      <alignment vertical="top" wrapText="1"/>
    </xf>
    <xf numFmtId="0" fontId="22" fillId="0" borderId="0" xfId="0" applyFont="1" applyAlignment="1" applyProtection="1">
      <alignment horizontal="center" vertical="top" wrapText="1"/>
    </xf>
    <xf numFmtId="0" fontId="19" fillId="0" borderId="0" xfId="0" applyFont="1" applyAlignment="1" applyProtection="1">
      <alignment vertical="top"/>
    </xf>
    <xf numFmtId="0" fontId="20" fillId="0" borderId="0" xfId="0" applyFont="1" applyAlignment="1" applyProtection="1">
      <alignment vertical="top" wrapText="1"/>
    </xf>
    <xf numFmtId="10" fontId="18" fillId="8" borderId="0" xfId="0" applyNumberFormat="1" applyFont="1" applyFill="1" applyAlignment="1" applyProtection="1">
      <alignment horizontal="center" vertical="top"/>
    </xf>
    <xf numFmtId="0" fontId="8" fillId="5" borderId="8" xfId="0" applyFont="1" applyFill="1" applyBorder="1" applyProtection="1"/>
    <xf numFmtId="0" fontId="8" fillId="5" borderId="8" xfId="0" applyFont="1" applyFill="1" applyBorder="1" applyAlignment="1" applyProtection="1">
      <alignment horizontal="center"/>
    </xf>
    <xf numFmtId="0" fontId="0" fillId="0" borderId="8" xfId="0" applyBorder="1" applyProtection="1"/>
    <xf numFmtId="10" fontId="0" fillId="0" borderId="8" xfId="0" applyNumberFormat="1" applyBorder="1" applyAlignment="1" applyProtection="1">
      <alignment horizontal="center"/>
    </xf>
    <xf numFmtId="0" fontId="2" fillId="0" borderId="8" xfId="0" applyFont="1" applyBorder="1" applyAlignment="1" applyProtection="1">
      <alignment horizontal="center"/>
    </xf>
    <xf numFmtId="0" fontId="0" fillId="0" borderId="8" xfId="0" applyBorder="1" applyAlignment="1" applyProtection="1">
      <alignment horizontal="center"/>
    </xf>
    <xf numFmtId="0" fontId="2" fillId="0" borderId="0" xfId="0" applyFont="1" applyProtection="1"/>
    <xf numFmtId="0" fontId="0" fillId="0" borderId="0" xfId="0" applyAlignment="1" applyProtection="1">
      <alignment vertical="top" wrapText="1"/>
    </xf>
    <xf numFmtId="0" fontId="0" fillId="0" borderId="0" xfId="0" applyProtection="1"/>
    <xf numFmtId="0" fontId="9" fillId="6" borderId="13" xfId="0" applyFont="1" applyFill="1" applyBorder="1" applyAlignment="1" applyProtection="1">
      <alignment horizontal="center" vertical="center"/>
    </xf>
    <xf numFmtId="0" fontId="9" fillId="6" borderId="17" xfId="0" applyFont="1" applyFill="1" applyBorder="1" applyAlignment="1" applyProtection="1">
      <alignment horizontal="center" vertical="center"/>
    </xf>
    <xf numFmtId="0" fontId="0" fillId="0" borderId="0" xfId="0" applyAlignment="1" applyProtection="1">
      <alignment vertical="center"/>
    </xf>
    <xf numFmtId="0" fontId="12" fillId="7" borderId="13" xfId="0" applyFont="1" applyFill="1" applyBorder="1" applyAlignment="1" applyProtection="1">
      <alignment horizontal="center" vertical="center"/>
    </xf>
    <xf numFmtId="0" fontId="12" fillId="7" borderId="17" xfId="0" applyFont="1" applyFill="1" applyBorder="1" applyAlignment="1" applyProtection="1">
      <alignment horizontal="center" vertical="center"/>
    </xf>
    <xf numFmtId="0" fontId="13" fillId="0" borderId="13" xfId="0" applyFont="1" applyBorder="1" applyAlignment="1" applyProtection="1">
      <alignment horizontal="center" vertical="center"/>
    </xf>
    <xf numFmtId="0" fontId="13" fillId="0" borderId="17" xfId="0" applyFont="1" applyBorder="1" applyAlignment="1" applyProtection="1">
      <alignment horizontal="center" vertical="center"/>
    </xf>
    <xf numFmtId="0" fontId="1" fillId="4" borderId="13" xfId="0" applyFont="1" applyFill="1" applyBorder="1" applyAlignment="1" applyProtection="1">
      <alignment horizontal="center" vertical="center"/>
    </xf>
    <xf numFmtId="0" fontId="1" fillId="4" borderId="17" xfId="0" applyFont="1" applyFill="1" applyBorder="1" applyAlignment="1" applyProtection="1">
      <alignment horizontal="center" vertical="center"/>
    </xf>
    <xf numFmtId="0" fontId="14" fillId="4" borderId="0" xfId="0" applyFont="1" applyFill="1" applyAlignment="1" applyProtection="1">
      <alignment vertical="center" wrapText="1" indent="1"/>
    </xf>
    <xf numFmtId="0" fontId="14" fillId="4" borderId="0" xfId="0" applyFont="1" applyFill="1" applyProtection="1"/>
    <xf numFmtId="0" fontId="9" fillId="6" borderId="8" xfId="0" applyFont="1" applyFill="1" applyBorder="1" applyAlignment="1" applyProtection="1">
      <alignment horizontal="center" vertical="center"/>
      <protection locked="0"/>
    </xf>
    <xf numFmtId="164" fontId="9" fillId="6" borderId="8" xfId="0" applyNumberFormat="1" applyFont="1" applyFill="1" applyBorder="1" applyAlignment="1" applyProtection="1">
      <alignment horizontal="center" vertical="center"/>
      <protection locked="0"/>
    </xf>
    <xf numFmtId="0" fontId="9" fillId="6" borderId="11" xfId="0" applyFont="1" applyFill="1" applyBorder="1" applyAlignment="1" applyProtection="1">
      <alignment horizontal="center" vertical="center"/>
      <protection locked="0"/>
    </xf>
    <xf numFmtId="10" fontId="16" fillId="6" borderId="0" xfId="0" applyNumberFormat="1" applyFont="1" applyFill="1" applyAlignment="1" applyProtection="1">
      <alignment horizontal="center" vertical="top"/>
      <protection locked="0"/>
    </xf>
    <xf numFmtId="0" fontId="0" fillId="0" borderId="0" xfId="0" applyAlignment="1" applyProtection="1">
      <alignment horizontal="center" vertical="top"/>
      <protection locked="0"/>
    </xf>
    <xf numFmtId="0" fontId="22" fillId="0" borderId="0" xfId="0" applyFont="1" applyAlignment="1" applyProtection="1">
      <alignment vertical="top" wrapText="1"/>
      <protection locked="0"/>
    </xf>
    <xf numFmtId="0" fontId="22" fillId="0" borderId="0" xfId="0" applyFont="1" applyAlignment="1" applyProtection="1">
      <alignment horizontal="center" vertical="top" wrapText="1"/>
      <protection locked="0"/>
    </xf>
    <xf numFmtId="10" fontId="21" fillId="6" borderId="0" xfId="0" applyNumberFormat="1" applyFont="1" applyFill="1" applyAlignment="1" applyProtection="1">
      <alignment horizontal="center" vertical="top"/>
      <protection locked="0"/>
    </xf>
    <xf numFmtId="0" fontId="23" fillId="0" borderId="0" xfId="0" applyFont="1" applyAlignment="1" applyProtection="1">
      <alignment vertical="top" wrapText="1"/>
      <protection locked="0"/>
    </xf>
    <xf numFmtId="0" fontId="23" fillId="0" borderId="0" xfId="0" applyFont="1" applyAlignment="1" applyProtection="1">
      <alignment horizontal="center" vertical="top" wrapText="1"/>
      <protection locked="0"/>
    </xf>
    <xf numFmtId="165" fontId="16" fillId="6" borderId="0" xfId="0" applyNumberFormat="1" applyFont="1" applyFill="1" applyAlignment="1" applyProtection="1">
      <alignment horizontal="center" vertical="top"/>
      <protection locked="0"/>
    </xf>
    <xf numFmtId="0" fontId="25" fillId="9" borderId="0" xfId="0" applyFont="1" applyFill="1" applyAlignment="1" applyProtection="1">
      <alignment vertical="top" wrapText="1"/>
      <protection locked="0"/>
    </xf>
    <xf numFmtId="0" fontId="26" fillId="0" borderId="0" xfId="0" applyFont="1" applyFill="1" applyAlignment="1" applyProtection="1">
      <alignment horizontal="center" vertical="top" wrapText="1"/>
      <protection locked="0"/>
    </xf>
    <xf numFmtId="0" fontId="16" fillId="6" borderId="0" xfId="0" applyNumberFormat="1" applyFont="1" applyFill="1" applyAlignment="1" applyProtection="1">
      <alignment horizontal="center" vertical="top"/>
      <protection locked="0"/>
    </xf>
    <xf numFmtId="0" fontId="0" fillId="0" borderId="0" xfId="0" applyAlignment="1" applyProtection="1">
      <alignment horizontal="center" vertical="top" wrapText="1"/>
      <protection locked="0"/>
    </xf>
    <xf numFmtId="164" fontId="0" fillId="0" borderId="0" xfId="0" applyNumberFormat="1" applyAlignment="1" applyProtection="1">
      <alignment horizontal="center" vertical="top" wrapText="1"/>
      <protection locked="0"/>
    </xf>
    <xf numFmtId="0" fontId="20" fillId="0" borderId="0" xfId="0" applyFont="1" applyAlignment="1" applyProtection="1">
      <alignment horizontal="center" vertical="top" wrapText="1"/>
      <protection locked="0"/>
    </xf>
    <xf numFmtId="164" fontId="20" fillId="0" borderId="0" xfId="0" applyNumberFormat="1" applyFont="1" applyAlignment="1" applyProtection="1">
      <alignment horizontal="center" vertical="top" wrapText="1"/>
      <protection locked="0"/>
    </xf>
    <xf numFmtId="0" fontId="0" fillId="0" borderId="0" xfId="0" applyAlignment="1" applyProtection="1">
      <alignment horizontal="center" vertical="top" wrapText="1"/>
    </xf>
    <xf numFmtId="164" fontId="0" fillId="0" borderId="0" xfId="0" applyNumberFormat="1" applyAlignment="1" applyProtection="1">
      <alignment horizontal="center" vertical="top" wrapText="1"/>
    </xf>
    <xf numFmtId="0" fontId="0" fillId="0" borderId="0" xfId="0" applyNumberFormat="1" applyAlignment="1" applyProtection="1">
      <alignment horizontal="center" vertical="top" wrapText="1"/>
      <protection locked="0"/>
    </xf>
    <xf numFmtId="0" fontId="2" fillId="0" borderId="7" xfId="0" applyFont="1" applyBorder="1" applyAlignment="1" applyProtection="1">
      <alignment vertical="center"/>
    </xf>
    <xf numFmtId="0" fontId="2" fillId="0" borderId="8" xfId="0" applyFont="1" applyBorder="1" applyAlignment="1" applyProtection="1">
      <alignment vertical="center"/>
    </xf>
    <xf numFmtId="164" fontId="9" fillId="6" borderId="8" xfId="0" applyNumberFormat="1" applyFont="1" applyFill="1" applyBorder="1" applyAlignment="1" applyProtection="1">
      <alignment horizontal="center" vertical="center"/>
      <protection locked="0"/>
    </xf>
    <xf numFmtId="0" fontId="15" fillId="0" borderId="8" xfId="0" applyFont="1" applyBorder="1" applyAlignment="1" applyProtection="1">
      <alignment vertical="center"/>
    </xf>
    <xf numFmtId="0" fontId="15" fillId="0" borderId="9" xfId="0" applyFont="1" applyBorder="1" applyAlignment="1" applyProtection="1">
      <alignment vertical="center"/>
    </xf>
    <xf numFmtId="1" fontId="9" fillId="6" borderId="8" xfId="0" applyNumberFormat="1" applyFont="1" applyFill="1" applyBorder="1" applyAlignment="1" applyProtection="1">
      <alignment horizontal="center" vertical="center"/>
      <protection locked="0"/>
    </xf>
    <xf numFmtId="0" fontId="27" fillId="2" borderId="0" xfId="0" applyFont="1" applyFill="1" applyAlignment="1">
      <alignment vertical="center"/>
    </xf>
    <xf numFmtId="0" fontId="29" fillId="4" borderId="0" xfId="0" applyFont="1" applyFill="1" applyAlignment="1">
      <alignment vertical="center"/>
    </xf>
    <xf numFmtId="166" fontId="0" fillId="0" borderId="0" xfId="0" applyNumberFormat="1"/>
    <xf numFmtId="0" fontId="28" fillId="11" borderId="0" xfId="0" applyFont="1" applyFill="1" applyAlignment="1">
      <alignment vertical="center"/>
    </xf>
    <xf numFmtId="0" fontId="27" fillId="2" borderId="0" xfId="0" applyFont="1" applyFill="1" applyAlignment="1" applyProtection="1">
      <alignment vertical="center"/>
    </xf>
    <xf numFmtId="0" fontId="28" fillId="3" borderId="0" xfId="0" applyFont="1" applyFill="1" applyAlignment="1" applyProtection="1">
      <alignment vertical="center"/>
    </xf>
    <xf numFmtId="0" fontId="29" fillId="4" borderId="0" xfId="0" applyFont="1" applyFill="1" applyAlignment="1" applyProtection="1">
      <alignment vertical="center"/>
    </xf>
    <xf numFmtId="0" fontId="0" fillId="0" borderId="0" xfId="0" applyAlignment="1" applyProtection="1">
      <alignment vertical="center"/>
    </xf>
    <xf numFmtId="0" fontId="7" fillId="3" borderId="0" xfId="0" applyFont="1" applyFill="1" applyAlignment="1" applyProtection="1">
      <alignment vertical="center"/>
    </xf>
    <xf numFmtId="0" fontId="30" fillId="0" borderId="0" xfId="0" applyFont="1" applyAlignment="1" applyProtection="1">
      <alignment vertical="center"/>
    </xf>
    <xf numFmtId="0" fontId="2" fillId="0" borderId="0" xfId="0" applyFont="1" applyProtection="1"/>
    <xf numFmtId="166" fontId="12" fillId="10" borderId="0" xfId="0" applyNumberFormat="1" applyFont="1" applyFill="1" applyProtection="1"/>
    <xf numFmtId="1" fontId="12" fillId="0" borderId="0" xfId="0" applyNumberFormat="1" applyFont="1" applyAlignment="1" applyProtection="1">
      <alignment horizontal="center"/>
      <protection locked="0"/>
    </xf>
    <xf numFmtId="164" fontId="9" fillId="0" borderId="0" xfId="0" applyNumberFormat="1" applyFont="1" applyAlignment="1" applyProtection="1">
      <alignment horizontal="center"/>
      <protection locked="0"/>
    </xf>
    <xf numFmtId="0" fontId="9" fillId="0" borderId="0" xfId="0" applyFont="1" applyProtection="1">
      <protection locked="0"/>
    </xf>
    <xf numFmtId="0" fontId="9" fillId="0" borderId="0" xfId="0" applyFont="1" applyAlignment="1" applyProtection="1">
      <alignment horizontal="center"/>
      <protection locked="0"/>
    </xf>
    <xf numFmtId="166" fontId="9" fillId="0" borderId="0" xfId="0" applyNumberFormat="1" applyFont="1" applyProtection="1">
      <protection locked="0"/>
    </xf>
    <xf numFmtId="0" fontId="8" fillId="5" borderId="0" xfId="0" applyFont="1" applyFill="1" applyProtection="1"/>
    <xf numFmtId="0" fontId="2" fillId="0" borderId="0" xfId="0" applyFont="1" applyAlignment="1" applyProtection="1">
      <alignment vertical="top"/>
    </xf>
    <xf numFmtId="0" fontId="2" fillId="0" borderId="0" xfId="0" applyFont="1" applyAlignment="1" applyProtection="1">
      <alignment vertical="top"/>
      <protection locked="0"/>
    </xf>
    <xf numFmtId="0" fontId="0" fillId="0" borderId="0" xfId="0" applyAlignment="1" applyProtection="1">
      <alignment vertical="top"/>
      <protection locked="0"/>
    </xf>
    <xf numFmtId="0" fontId="0" fillId="0" borderId="0" xfId="0" applyAlignment="1" applyProtection="1">
      <alignment vertical="top" wrapText="1"/>
      <protection locked="0"/>
    </xf>
    <xf numFmtId="167" fontId="0" fillId="0" borderId="0" xfId="0" applyNumberFormat="1" applyAlignment="1" applyProtection="1">
      <alignment horizontal="center" vertical="top" wrapText="1"/>
      <protection locked="0"/>
    </xf>
    <xf numFmtId="0" fontId="27" fillId="2" borderId="0" xfId="0" applyFont="1" applyFill="1" applyProtection="1"/>
    <xf numFmtId="0" fontId="3" fillId="3" borderId="0" xfId="0" applyFont="1" applyFill="1" applyProtection="1"/>
    <xf numFmtId="0" fontId="24" fillId="4" borderId="0" xfId="0" applyFont="1" applyFill="1" applyProtection="1"/>
    <xf numFmtId="0" fontId="7" fillId="3" borderId="0" xfId="0" applyFont="1" applyFill="1" applyProtection="1"/>
    <xf numFmtId="0" fontId="8" fillId="12" borderId="0" xfId="0" applyFont="1" applyFill="1" applyAlignment="1" applyProtection="1">
      <alignment horizontal="center"/>
    </xf>
    <xf numFmtId="0" fontId="8" fillId="13" borderId="0" xfId="0" applyFont="1" applyFill="1" applyAlignment="1" applyProtection="1">
      <alignment horizontal="center"/>
    </xf>
    <xf numFmtId="0" fontId="8" fillId="5" borderId="16" xfId="0" applyFont="1" applyFill="1" applyBorder="1" applyProtection="1"/>
    <xf numFmtId="0" fontId="8" fillId="5" borderId="18" xfId="0" applyFont="1" applyFill="1" applyBorder="1" applyAlignment="1" applyProtection="1">
      <alignment horizontal="right"/>
    </xf>
    <xf numFmtId="0" fontId="8" fillId="5" borderId="14" xfId="0" applyFont="1" applyFill="1" applyBorder="1" applyAlignment="1" applyProtection="1">
      <alignment horizontal="right"/>
    </xf>
    <xf numFmtId="0" fontId="32" fillId="14" borderId="17" xfId="0" applyFont="1" applyFill="1" applyBorder="1" applyAlignment="1" applyProtection="1">
      <alignment horizontal="right"/>
    </xf>
    <xf numFmtId="0" fontId="0" fillId="14" borderId="15" xfId="0" applyFill="1" applyBorder="1" applyProtection="1"/>
    <xf numFmtId="0" fontId="0" fillId="14" borderId="13" xfId="0" applyFill="1" applyBorder="1" applyProtection="1"/>
    <xf numFmtId="168" fontId="2" fillId="0" borderId="17" xfId="0" applyNumberFormat="1" applyFont="1" applyBorder="1" applyProtection="1"/>
    <xf numFmtId="169" fontId="0" fillId="0" borderId="15" xfId="0" applyNumberFormat="1" applyBorder="1" applyProtection="1"/>
    <xf numFmtId="169" fontId="2" fillId="0" borderId="15" xfId="0" applyNumberFormat="1" applyFont="1" applyBorder="1" applyProtection="1"/>
    <xf numFmtId="0" fontId="22" fillId="0" borderId="13" xfId="0" applyFont="1" applyBorder="1" applyProtection="1"/>
    <xf numFmtId="0" fontId="8" fillId="2" borderId="17" xfId="0" applyFont="1" applyFill="1" applyBorder="1" applyProtection="1"/>
    <xf numFmtId="169" fontId="8" fillId="2" borderId="15" xfId="0" applyNumberFormat="1" applyFont="1" applyFill="1" applyBorder="1" applyProtection="1"/>
    <xf numFmtId="0" fontId="34" fillId="2" borderId="13" xfId="0" applyFont="1" applyFill="1" applyBorder="1" applyProtection="1"/>
    <xf numFmtId="0" fontId="8" fillId="5" borderId="1" xfId="0" applyFont="1" applyFill="1" applyBorder="1" applyProtection="1"/>
    <xf numFmtId="0" fontId="8" fillId="5" borderId="1" xfId="0" applyFont="1" applyFill="1" applyBorder="1" applyAlignment="1" applyProtection="1">
      <alignment horizontal="right"/>
    </xf>
    <xf numFmtId="0" fontId="8" fillId="5" borderId="1" xfId="0" applyFont="1" applyFill="1" applyBorder="1" applyAlignment="1" applyProtection="1">
      <alignment horizontal="center"/>
    </xf>
    <xf numFmtId="0" fontId="0" fillId="0" borderId="2" xfId="0" applyBorder="1" applyProtection="1"/>
    <xf numFmtId="3" fontId="0" fillId="0" borderId="2" xfId="0" applyNumberFormat="1" applyBorder="1" applyProtection="1"/>
    <xf numFmtId="0" fontId="2" fillId="0" borderId="2" xfId="0" applyFont="1" applyBorder="1" applyAlignment="1" applyProtection="1">
      <alignment horizontal="center"/>
    </xf>
    <xf numFmtId="4" fontId="0" fillId="0" borderId="2" xfId="0" applyNumberFormat="1" applyBorder="1" applyProtection="1"/>
    <xf numFmtId="0" fontId="0" fillId="0" borderId="3" xfId="0" applyBorder="1" applyProtection="1"/>
    <xf numFmtId="3" fontId="0" fillId="0" borderId="3" xfId="0" applyNumberFormat="1" applyBorder="1" applyProtection="1"/>
    <xf numFmtId="0" fontId="2" fillId="0" borderId="3" xfId="0" applyFont="1" applyBorder="1" applyAlignment="1" applyProtection="1">
      <alignment horizontal="center"/>
    </xf>
    <xf numFmtId="0" fontId="36" fillId="0" borderId="0" xfId="0" applyFont="1" applyProtection="1"/>
    <xf numFmtId="0" fontId="0" fillId="0" borderId="0" xfId="0" applyAlignment="1" applyProtection="1">
      <alignment wrapText="1"/>
    </xf>
    <xf numFmtId="0" fontId="33" fillId="14" borderId="15" xfId="0" applyFont="1" applyFill="1" applyBorder="1" applyAlignment="1" applyProtection="1">
      <alignment horizontal="center"/>
      <protection locked="0"/>
    </xf>
    <xf numFmtId="4" fontId="0" fillId="0" borderId="0" xfId="0" applyNumberFormat="1" applyProtection="1"/>
    <xf numFmtId="0" fontId="2" fillId="0" borderId="0" xfId="0" applyFont="1" applyFill="1" applyBorder="1" applyAlignment="1" applyProtection="1">
      <alignment horizontal="center"/>
    </xf>
    <xf numFmtId="0" fontId="0" fillId="0" borderId="0" xfId="0" applyBorder="1" applyProtection="1"/>
    <xf numFmtId="4" fontId="0" fillId="0" borderId="0" xfId="0" applyNumberFormat="1" applyBorder="1" applyProtection="1"/>
    <xf numFmtId="4" fontId="35" fillId="9" borderId="0" xfId="0" applyNumberFormat="1" applyFont="1" applyFill="1" applyBorder="1" applyProtection="1"/>
    <xf numFmtId="0" fontId="27" fillId="2" borderId="0" xfId="0" applyFont="1" applyFill="1" applyProtection="1"/>
    <xf numFmtId="0" fontId="3" fillId="3" borderId="0" xfId="0" applyFont="1" applyFill="1" applyProtection="1"/>
    <xf numFmtId="0" fontId="37" fillId="6" borderId="0" xfId="0" applyFont="1" applyFill="1" applyProtection="1"/>
    <xf numFmtId="0" fontId="7" fillId="3" borderId="0" xfId="0" applyFont="1" applyFill="1" applyProtection="1"/>
    <xf numFmtId="0" fontId="16" fillId="6" borderId="0" xfId="0" applyFont="1" applyFill="1" applyAlignment="1" applyProtection="1">
      <alignment horizontal="center"/>
    </xf>
    <xf numFmtId="0" fontId="18" fillId="0" borderId="0" xfId="0" applyFont="1" applyProtection="1"/>
    <xf numFmtId="0" fontId="8" fillId="5" borderId="0" xfId="0" applyFont="1" applyFill="1" applyAlignment="1" applyProtection="1">
      <alignment horizontal="center"/>
    </xf>
    <xf numFmtId="0" fontId="2" fillId="0" borderId="0" xfId="0" applyFont="1" applyAlignment="1" applyProtection="1">
      <alignment horizontal="center"/>
    </xf>
    <xf numFmtId="0" fontId="0" fillId="0" borderId="0" xfId="0" applyAlignment="1" applyProtection="1">
      <alignment horizontal="center"/>
    </xf>
    <xf numFmtId="0" fontId="8" fillId="11" borderId="0" xfId="0" applyFont="1" applyFill="1" applyAlignment="1" applyProtection="1">
      <alignment horizontal="center"/>
    </xf>
    <xf numFmtId="0" fontId="8" fillId="5" borderId="0" xfId="0" applyFont="1" applyFill="1" applyAlignment="1" applyProtection="1">
      <alignment wrapText="1"/>
    </xf>
    <xf numFmtId="0" fontId="12" fillId="0" borderId="19" xfId="0" applyFont="1" applyBorder="1" applyProtection="1"/>
    <xf numFmtId="164" fontId="12" fillId="0" borderId="19" xfId="0" applyNumberFormat="1" applyFont="1" applyBorder="1" applyProtection="1"/>
    <xf numFmtId="169" fontId="12" fillId="0" borderId="19" xfId="0" applyNumberFormat="1" applyFont="1" applyBorder="1" applyProtection="1"/>
    <xf numFmtId="0" fontId="38" fillId="0" borderId="19" xfId="0" applyFont="1" applyBorder="1" applyAlignment="1" applyProtection="1">
      <alignment horizontal="center"/>
    </xf>
    <xf numFmtId="0" fontId="18" fillId="0" borderId="19" xfId="0" applyFont="1" applyBorder="1" applyAlignment="1" applyProtection="1">
      <alignment horizontal="center"/>
    </xf>
    <xf numFmtId="0" fontId="12" fillId="0" borderId="20" xfId="0" applyFont="1" applyBorder="1" applyProtection="1"/>
    <xf numFmtId="164" fontId="12" fillId="0" borderId="20" xfId="0" applyNumberFormat="1" applyFont="1" applyBorder="1" applyProtection="1"/>
    <xf numFmtId="169" fontId="12" fillId="0" borderId="20" xfId="0" applyNumberFormat="1" applyFont="1" applyBorder="1" applyProtection="1"/>
    <xf numFmtId="0" fontId="38" fillId="0" borderId="20" xfId="0" applyFont="1" applyBorder="1" applyAlignment="1" applyProtection="1">
      <alignment horizontal="center"/>
    </xf>
    <xf numFmtId="0" fontId="18" fillId="0" borderId="20" xfId="0" applyFont="1" applyBorder="1" applyAlignment="1" applyProtection="1">
      <alignment horizontal="center"/>
    </xf>
    <xf numFmtId="0" fontId="12" fillId="0" borderId="21" xfId="0" applyFont="1" applyBorder="1" applyProtection="1"/>
    <xf numFmtId="164" fontId="12" fillId="0" borderId="21" xfId="0" applyNumberFormat="1" applyFont="1" applyBorder="1" applyProtection="1"/>
    <xf numFmtId="169" fontId="12" fillId="0" borderId="21" xfId="0" applyNumberFormat="1" applyFont="1" applyBorder="1" applyProtection="1"/>
    <xf numFmtId="0" fontId="38" fillId="0" borderId="21" xfId="0" applyFont="1" applyBorder="1" applyAlignment="1" applyProtection="1">
      <alignment horizontal="center"/>
    </xf>
    <xf numFmtId="0" fontId="18" fillId="0" borderId="21" xfId="0" applyFont="1" applyBorder="1" applyAlignment="1" applyProtection="1">
      <alignment horizontal="center"/>
    </xf>
    <xf numFmtId="0" fontId="16" fillId="6" borderId="0" xfId="0" applyFont="1" applyFill="1" applyAlignment="1" applyProtection="1">
      <alignment horizontal="center"/>
      <protection locked="0"/>
    </xf>
    <xf numFmtId="0" fontId="0" fillId="0" borderId="0" xfId="0" applyProtection="1">
      <protection locked="0"/>
    </xf>
    <xf numFmtId="2" fontId="16" fillId="6" borderId="0" xfId="0" applyNumberFormat="1" applyFont="1" applyFill="1" applyAlignment="1" applyProtection="1">
      <alignment horizontal="center"/>
      <protection locked="0"/>
    </xf>
    <xf numFmtId="0" fontId="39" fillId="0" borderId="0" xfId="0" applyFont="1" applyProtection="1"/>
    <xf numFmtId="0" fontId="2" fillId="0" borderId="0" xfId="0" applyFont="1" applyAlignment="1" applyProtection="1">
      <alignment horizontal="center" vertical="top"/>
    </xf>
    <xf numFmtId="0" fontId="15" fillId="0" borderId="0" xfId="0" applyFont="1" applyFill="1" applyAlignment="1" applyProtection="1">
      <alignment horizontal="center" vertical="top" wrapText="1"/>
    </xf>
    <xf numFmtId="0" fontId="37" fillId="6" borderId="0" xfId="0" applyFont="1" applyFill="1" applyProtection="1"/>
    <xf numFmtId="0" fontId="40" fillId="0" borderId="0" xfId="0" applyFont="1" applyProtection="1"/>
    <xf numFmtId="0" fontId="8" fillId="5" borderId="19" xfId="0" applyFont="1" applyFill="1" applyBorder="1" applyProtection="1"/>
    <xf numFmtId="0" fontId="8" fillId="5" borderId="19" xfId="0" applyFont="1" applyFill="1" applyBorder="1" applyAlignment="1" applyProtection="1">
      <alignment horizontal="center"/>
    </xf>
    <xf numFmtId="0" fontId="30" fillId="0" borderId="20" xfId="0" applyFont="1" applyBorder="1" applyAlignment="1" applyProtection="1">
      <alignment horizontal="right"/>
    </xf>
    <xf numFmtId="0" fontId="30" fillId="14" borderId="20" xfId="0" applyFont="1" applyFill="1" applyBorder="1" applyAlignment="1" applyProtection="1">
      <alignment horizontal="center"/>
    </xf>
    <xf numFmtId="0" fontId="0" fillId="0" borderId="20" xfId="0" applyBorder="1" applyProtection="1"/>
    <xf numFmtId="168" fontId="2" fillId="0" borderId="20" xfId="0" applyNumberFormat="1" applyFont="1" applyBorder="1" applyProtection="1"/>
    <xf numFmtId="169" fontId="0" fillId="0" borderId="20" xfId="0" applyNumberFormat="1" applyBorder="1" applyProtection="1"/>
    <xf numFmtId="169" fontId="2" fillId="0" borderId="20" xfId="0" applyNumberFormat="1" applyFont="1" applyBorder="1" applyProtection="1"/>
    <xf numFmtId="169" fontId="13" fillId="0" borderId="20" xfId="0" applyNumberFormat="1" applyFont="1" applyBorder="1" applyProtection="1"/>
    <xf numFmtId="0" fontId="22" fillId="0" borderId="20" xfId="0" applyFont="1" applyBorder="1" applyProtection="1"/>
    <xf numFmtId="0" fontId="8" fillId="2" borderId="21" xfId="0" applyFont="1" applyFill="1" applyBorder="1" applyProtection="1"/>
    <xf numFmtId="169" fontId="8" fillId="2" borderId="21" xfId="0" applyNumberFormat="1" applyFont="1" applyFill="1" applyBorder="1" applyProtection="1"/>
    <xf numFmtId="0" fontId="34" fillId="2" borderId="21" xfId="0" applyFont="1" applyFill="1" applyBorder="1" applyProtection="1"/>
    <xf numFmtId="0" fontId="8" fillId="5" borderId="0" xfId="0" applyFont="1" applyFill="1" applyProtection="1"/>
    <xf numFmtId="169" fontId="41" fillId="0" borderId="0" xfId="0" applyNumberFormat="1" applyFont="1" applyProtection="1"/>
    <xf numFmtId="169" fontId="35" fillId="9" borderId="0" xfId="0" applyNumberFormat="1" applyFont="1" applyFill="1" applyProtection="1"/>
    <xf numFmtId="0" fontId="0" fillId="0" borderId="19" xfId="0" applyBorder="1" applyProtection="1"/>
    <xf numFmtId="0" fontId="0" fillId="0" borderId="20" xfId="0" applyBorder="1" applyProtection="1"/>
    <xf numFmtId="4" fontId="0" fillId="0" borderId="20" xfId="0" applyNumberFormat="1" applyBorder="1" applyProtection="1"/>
    <xf numFmtId="0" fontId="2" fillId="0" borderId="20" xfId="0" applyFont="1" applyBorder="1" applyAlignment="1" applyProtection="1">
      <alignment horizontal="center"/>
    </xf>
    <xf numFmtId="3" fontId="0" fillId="0" borderId="20" xfId="0" applyNumberFormat="1" applyBorder="1" applyProtection="1"/>
    <xf numFmtId="0" fontId="0" fillId="0" borderId="21" xfId="0" applyBorder="1" applyProtection="1"/>
    <xf numFmtId="3" fontId="0" fillId="0" borderId="21" xfId="0" applyNumberFormat="1" applyBorder="1" applyProtection="1"/>
    <xf numFmtId="0" fontId="2" fillId="0" borderId="21" xfId="0" applyFont="1" applyBorder="1" applyAlignment="1" applyProtection="1">
      <alignment horizontal="center"/>
    </xf>
    <xf numFmtId="0" fontId="22" fillId="0" borderId="0" xfId="0" applyFont="1" applyAlignment="1" applyProtection="1">
      <alignment wrapText="1"/>
    </xf>
    <xf numFmtId="169" fontId="16" fillId="6" borderId="0" xfId="0" applyNumberFormat="1" applyFont="1" applyFill="1" applyAlignment="1" applyProtection="1">
      <alignment horizontal="center"/>
      <protection locked="0"/>
    </xf>
    <xf numFmtId="0" fontId="16" fillId="6" borderId="0" xfId="0" applyNumberFormat="1" applyFont="1" applyFill="1" applyAlignment="1" applyProtection="1">
      <alignment horizontal="center"/>
      <protection locked="0"/>
    </xf>
    <xf numFmtId="0" fontId="26" fillId="0" borderId="0" xfId="0" applyFont="1" applyAlignment="1" applyProtection="1">
      <alignment wrapText="1"/>
    </xf>
  </cellXfs>
  <cellStyles count="1">
    <cellStyle name="Normal" xfId="0" builtinId="0"/>
  </cellStyles>
  <dxfs count="93">
    <dxf>
      <font>
        <color rgb="FF006100"/>
      </font>
      <fill>
        <patternFill patternType="solid">
          <fgColor indexed="64"/>
          <bgColor rgb="FFC6EFCE"/>
        </patternFill>
      </fill>
    </dxf>
    <dxf>
      <font>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9C6500"/>
      </font>
      <fill>
        <patternFill patternType="solid">
          <fgColor indexed="64"/>
          <bgColor rgb="FFFFEB9C"/>
        </patternFill>
      </fill>
    </dxf>
    <dxf>
      <font>
        <b/>
        <i val="0"/>
        <color rgb="FF9C6500"/>
      </font>
      <fill>
        <patternFill patternType="solid">
          <fgColor indexed="64"/>
          <bgColor rgb="FFFFEB9C"/>
        </patternFill>
      </fill>
    </dxf>
    <dxf>
      <font>
        <b/>
        <i val="0"/>
        <strike val="0"/>
        <condense val="0"/>
        <extend val="0"/>
        <outline val="0"/>
        <shadow val="0"/>
        <u val="none"/>
        <vertAlign val="baseline"/>
        <sz val="11"/>
        <color rgb="FF000000"/>
        <name val="Aptos Narrow"/>
        <family val="2"/>
        <scheme val="minor"/>
      </font>
      <alignment horizontal="center" vertical="bottom" textRotation="0" wrapText="0" indent="0" justifyLastLine="0" shrinkToFit="0" readingOrder="0"/>
      <protection locked="1"/>
    </dxf>
    <dxf>
      <font>
        <b/>
        <i val="0"/>
        <strike val="0"/>
        <condense val="0"/>
        <extend val="0"/>
        <outline val="0"/>
        <shadow val="0"/>
        <u val="none"/>
        <vertAlign val="baseline"/>
        <sz val="11"/>
        <color rgb="FFFFFFFF"/>
        <name val="Aptos Narrow"/>
        <family val="2"/>
        <scheme val="minor"/>
      </font>
      <fill>
        <patternFill patternType="solid">
          <fgColor indexed="64"/>
          <bgColor rgb="FF8496B0"/>
        </patternFill>
      </fill>
      <alignment horizontal="general" vertical="bottom" textRotation="0" wrapText="1" indent="0" justifyLastLine="0" shrinkToFit="0" readingOrder="0"/>
      <protection locked="1"/>
    </dxf>
    <dxf>
      <font>
        <b/>
        <i val="0"/>
        <strike val="0"/>
        <condense val="0"/>
        <extend val="0"/>
        <outline val="0"/>
        <shadow val="0"/>
        <u val="none"/>
        <vertAlign val="baseline"/>
        <sz val="11"/>
        <color rgb="FF000000"/>
        <name val="Aptos Narrow"/>
        <family val="2"/>
        <scheme val="minor"/>
      </font>
      <numFmt numFmtId="0" formatCode="General"/>
      <alignment horizontal="center" vertical="bottom" textRotation="0" wrapText="0" indent="0" justifyLastLine="0" shrinkToFit="0" readingOrder="0"/>
      <border diagonalUp="0" diagonalDown="0">
        <left/>
        <right/>
        <top style="thin">
          <color rgb="FFD9D9D9"/>
        </top>
        <bottom style="thin">
          <color rgb="FFD9D9D9"/>
        </bottom>
        <vertical/>
        <horizontal/>
      </border>
      <protection locked="1"/>
    </dxf>
    <dxf>
      <font>
        <b/>
        <i val="0"/>
        <strike val="0"/>
        <condense val="0"/>
        <extend val="0"/>
        <outline val="0"/>
        <shadow val="0"/>
        <u val="none"/>
        <vertAlign val="baseline"/>
        <sz val="11"/>
        <color rgb="FF000000"/>
        <name val="Aptos Narrow"/>
        <family val="2"/>
        <scheme val="minor"/>
      </font>
      <numFmt numFmtId="0" formatCode="General"/>
      <alignment horizontal="center" vertical="bottom" textRotation="0" wrapText="0" indent="0" justifyLastLine="0" shrinkToFit="0" readingOrder="0"/>
      <border diagonalUp="0" diagonalDown="0">
        <left/>
        <right/>
        <top style="thin">
          <color rgb="FFD9D9D9"/>
        </top>
        <bottom style="thin">
          <color rgb="FFD9D9D9"/>
        </bottom>
        <vertical/>
        <horizontal/>
      </border>
      <protection locked="1" hidden="0"/>
    </dxf>
    <dxf>
      <font>
        <b/>
        <i val="0"/>
        <strike val="0"/>
        <condense val="0"/>
        <extend val="0"/>
        <outline val="0"/>
        <shadow val="0"/>
        <u val="none"/>
        <vertAlign val="baseline"/>
        <sz val="11"/>
        <color rgb="FF000000"/>
        <name val="Aptos Narrow"/>
        <family val="2"/>
        <scheme val="minor"/>
      </font>
      <alignment horizontal="center" vertical="bottom" textRotation="0" wrapText="0" indent="0" justifyLastLine="0" shrinkToFit="0" readingOrder="0"/>
      <border diagonalUp="0" diagonalDown="0">
        <left/>
        <right/>
        <top style="thin">
          <color rgb="FFD9D9D9"/>
        </top>
        <bottom style="thin">
          <color rgb="FFD9D9D9"/>
        </bottom>
        <vertical/>
        <horizontal/>
      </border>
      <protection locked="1"/>
    </dxf>
    <dxf>
      <font>
        <b/>
        <i val="0"/>
        <strike val="0"/>
        <condense val="0"/>
        <extend val="0"/>
        <outline val="0"/>
        <shadow val="0"/>
        <u val="none"/>
        <vertAlign val="baseline"/>
        <sz val="11"/>
        <color rgb="FF000000"/>
        <name val="Aptos Narrow"/>
        <family val="2"/>
        <scheme val="minor"/>
      </font>
      <alignment horizontal="center" vertical="bottom" textRotation="0" wrapText="0" indent="0" justifyLastLine="0" shrinkToFit="0" readingOrder="0"/>
      <border diagonalUp="0" diagonalDown="0">
        <left/>
        <right/>
        <top style="thin">
          <color rgb="FFD9D9D9"/>
        </top>
        <bottom style="thin">
          <color rgb="FFD9D9D9"/>
        </bottom>
        <vertical/>
        <horizontal/>
      </border>
      <protection locked="1"/>
    </dxf>
    <dxf>
      <font>
        <b/>
        <i val="0"/>
        <strike val="0"/>
        <condense val="0"/>
        <extend val="0"/>
        <outline val="0"/>
        <shadow val="0"/>
        <u val="none"/>
        <vertAlign val="baseline"/>
        <sz val="11"/>
        <color rgb="FF000000"/>
        <name val="Aptos Narrow"/>
        <family val="2"/>
        <scheme val="minor"/>
      </font>
      <alignment horizontal="center" vertical="bottom" textRotation="0" wrapText="0" indent="0" justifyLastLine="0" shrinkToFit="0" readingOrder="0"/>
      <border diagonalUp="0" diagonalDown="0">
        <left/>
        <right/>
        <top style="thin">
          <color rgb="FFD9D9D9"/>
        </top>
        <bottom style="thin">
          <color rgb="FFD9D9D9"/>
        </bottom>
        <vertical/>
        <horizontal/>
      </border>
      <protection locked="1"/>
    </dxf>
    <dxf>
      <font>
        <b/>
        <i val="0"/>
        <strike val="0"/>
        <condense val="0"/>
        <extend val="0"/>
        <outline val="0"/>
        <shadow val="0"/>
        <u val="none"/>
        <vertAlign val="baseline"/>
        <sz val="11"/>
        <color rgb="FF000000"/>
        <name val="Aptos Narrow"/>
        <family val="2"/>
        <scheme val="minor"/>
      </font>
      <alignment horizontal="center" vertical="bottom" textRotation="0" wrapText="0" indent="0" justifyLastLine="0" shrinkToFit="0" readingOrder="0"/>
      <border diagonalUp="0" diagonalDown="0">
        <left/>
        <right/>
        <top style="thin">
          <color rgb="FFD9D9D9"/>
        </top>
        <bottom style="thin">
          <color rgb="FFD9D9D9"/>
        </bottom>
        <vertical/>
        <horizontal/>
      </border>
      <protection locked="1"/>
    </dxf>
    <dxf>
      <font>
        <b val="0"/>
        <i val="0"/>
        <strike val="0"/>
        <condense val="0"/>
        <extend val="0"/>
        <outline val="0"/>
        <shadow val="0"/>
        <u val="none"/>
        <vertAlign val="baseline"/>
        <sz val="11"/>
        <color rgb="FF808080"/>
        <name val="Aptos Narrow"/>
        <family val="2"/>
        <scheme val="minor"/>
      </font>
      <alignment horizontal="center" vertical="bottom" textRotation="0" wrapText="0" indent="0" justifyLastLine="0" shrinkToFit="0" readingOrder="0"/>
      <border diagonalUp="0" diagonalDown="0">
        <left/>
        <right/>
        <top style="thin">
          <color rgb="FFD9D9D9"/>
        </top>
        <bottom style="thin">
          <color rgb="FFD9D9D9"/>
        </bottom>
        <vertical/>
        <horizontal/>
      </border>
      <protection locked="1"/>
    </dxf>
    <dxf>
      <font>
        <b val="0"/>
        <i val="0"/>
        <strike val="0"/>
        <condense val="0"/>
        <extend val="0"/>
        <outline val="0"/>
        <shadow val="0"/>
        <u val="none"/>
        <vertAlign val="baseline"/>
        <sz val="11"/>
        <color rgb="FF000000"/>
        <name val="Aptos Narrow"/>
        <family val="2"/>
        <scheme val="minor"/>
      </font>
      <numFmt numFmtId="169" formatCode="#,##0.00;\(#,##0.00\);&quot;–&quot;"/>
      <border diagonalUp="0" diagonalDown="0">
        <left/>
        <right/>
        <top style="thin">
          <color rgb="FFD9D9D9"/>
        </top>
        <bottom style="thin">
          <color rgb="FFD9D9D9"/>
        </bottom>
        <vertical/>
        <horizontal/>
      </border>
      <protection locked="1" hidden="0"/>
    </dxf>
    <dxf>
      <font>
        <b val="0"/>
        <i val="0"/>
        <strike val="0"/>
        <condense val="0"/>
        <extend val="0"/>
        <outline val="0"/>
        <shadow val="0"/>
        <u val="none"/>
        <vertAlign val="baseline"/>
        <sz val="11"/>
        <color rgb="FF000000"/>
        <name val="Aptos Narrow"/>
        <family val="2"/>
        <scheme val="minor"/>
      </font>
      <numFmt numFmtId="169" formatCode="#,##0.00;\(#,##0.00\);&quot;–&quot;"/>
      <border diagonalUp="0" diagonalDown="0">
        <left/>
        <right/>
        <top style="thin">
          <color rgb="FFD9D9D9"/>
        </top>
        <bottom style="thin">
          <color rgb="FFD9D9D9"/>
        </bottom>
        <vertical/>
        <horizontal/>
      </border>
      <protection locked="1" hidden="0"/>
    </dxf>
    <dxf>
      <font>
        <b val="0"/>
        <i val="0"/>
        <strike val="0"/>
        <condense val="0"/>
        <extend val="0"/>
        <outline val="0"/>
        <shadow val="0"/>
        <u val="none"/>
        <vertAlign val="baseline"/>
        <sz val="11"/>
        <color rgb="FF000000"/>
        <name val="Aptos Narrow"/>
        <family val="2"/>
        <scheme val="minor"/>
      </font>
      <numFmt numFmtId="169" formatCode="#,##0.00;\(#,##0.00\);&quot;–&quot;"/>
      <border diagonalUp="0" diagonalDown="0">
        <left/>
        <right/>
        <top style="thin">
          <color rgb="FFD9D9D9"/>
        </top>
        <bottom style="thin">
          <color rgb="FFD9D9D9"/>
        </bottom>
        <vertical/>
        <horizontal/>
      </border>
      <protection locked="1"/>
    </dxf>
    <dxf>
      <font>
        <b val="0"/>
        <i val="0"/>
        <strike val="0"/>
        <condense val="0"/>
        <extend val="0"/>
        <outline val="0"/>
        <shadow val="0"/>
        <u val="none"/>
        <vertAlign val="baseline"/>
        <sz val="11"/>
        <color rgb="FF000000"/>
        <name val="Aptos Narrow"/>
        <family val="2"/>
        <scheme val="minor"/>
      </font>
      <numFmt numFmtId="169" formatCode="#,##0.00;\(#,##0.00\);&quot;–&quot;"/>
      <border diagonalUp="0" diagonalDown="0">
        <left/>
        <right/>
        <top style="thin">
          <color rgb="FFD9D9D9"/>
        </top>
        <bottom style="thin">
          <color rgb="FFD9D9D9"/>
        </bottom>
        <vertical/>
        <horizontal/>
      </border>
      <protection locked="1"/>
    </dxf>
    <dxf>
      <font>
        <b val="0"/>
        <i val="0"/>
        <strike val="0"/>
        <condense val="0"/>
        <extend val="0"/>
        <outline val="0"/>
        <shadow val="0"/>
        <u val="none"/>
        <vertAlign val="baseline"/>
        <sz val="11"/>
        <color rgb="FF000000"/>
        <name val="Aptos Narrow"/>
        <family val="2"/>
        <scheme val="minor"/>
      </font>
      <border diagonalUp="0" diagonalDown="0">
        <left/>
        <right/>
        <top style="thin">
          <color rgb="FFD9D9D9"/>
        </top>
        <bottom style="thin">
          <color rgb="FFD9D9D9"/>
        </bottom>
        <vertical/>
        <horizontal/>
      </border>
      <protection locked="1"/>
    </dxf>
    <dxf>
      <font>
        <b val="0"/>
        <i val="0"/>
        <strike val="0"/>
        <condense val="0"/>
        <extend val="0"/>
        <outline val="0"/>
        <shadow val="0"/>
        <u val="none"/>
        <vertAlign val="baseline"/>
        <sz val="11"/>
        <color rgb="FF000000"/>
        <name val="Aptos Narrow"/>
        <family val="2"/>
        <scheme val="minor"/>
      </font>
      <border diagonalUp="0" diagonalDown="0">
        <left/>
        <right/>
        <top style="thin">
          <color rgb="FFD9D9D9"/>
        </top>
        <bottom style="thin">
          <color rgb="FFD9D9D9"/>
        </bottom>
        <vertical/>
        <horizontal/>
      </border>
      <protection locked="1"/>
    </dxf>
    <dxf>
      <font>
        <b val="0"/>
        <i val="0"/>
        <strike val="0"/>
        <condense val="0"/>
        <extend val="0"/>
        <outline val="0"/>
        <shadow val="0"/>
        <u val="none"/>
        <vertAlign val="baseline"/>
        <sz val="11"/>
        <color rgb="FF000000"/>
        <name val="Aptos Narrow"/>
        <family val="2"/>
        <scheme val="minor"/>
      </font>
      <border diagonalUp="0" diagonalDown="0">
        <left/>
        <right/>
        <top style="thin">
          <color rgb="FFD9D9D9"/>
        </top>
        <bottom style="thin">
          <color rgb="FFD9D9D9"/>
        </bottom>
        <vertical/>
        <horizontal/>
      </border>
      <protection locked="1"/>
    </dxf>
    <dxf>
      <font>
        <b val="0"/>
        <i val="0"/>
        <strike val="0"/>
        <condense val="0"/>
        <extend val="0"/>
        <outline val="0"/>
        <shadow val="0"/>
        <u val="none"/>
        <vertAlign val="baseline"/>
        <sz val="11"/>
        <color rgb="FF000000"/>
        <name val="Aptos Narrow"/>
        <family val="2"/>
        <scheme val="minor"/>
      </font>
      <numFmt numFmtId="164" formatCode="dd\-mmm\-yyyy"/>
      <border diagonalUp="0" diagonalDown="0">
        <left/>
        <right/>
        <top style="thin">
          <color rgb="FFD9D9D9"/>
        </top>
        <bottom style="thin">
          <color rgb="FFD9D9D9"/>
        </bottom>
        <vertical/>
        <horizontal/>
      </border>
      <protection locked="1"/>
    </dxf>
    <dxf>
      <font>
        <b val="0"/>
        <i val="0"/>
        <strike val="0"/>
        <condense val="0"/>
        <extend val="0"/>
        <outline val="0"/>
        <shadow val="0"/>
        <u val="none"/>
        <vertAlign val="baseline"/>
        <sz val="11"/>
        <color rgb="FF000000"/>
        <name val="Aptos Narrow"/>
        <family val="2"/>
        <scheme val="minor"/>
      </font>
      <border diagonalUp="0" diagonalDown="0">
        <left/>
        <right/>
        <top style="thin">
          <color rgb="FFD9D9D9"/>
        </top>
        <bottom style="thin">
          <color rgb="FFD9D9D9"/>
        </bottom>
        <vertical/>
        <horizontal/>
      </border>
      <protection locked="1"/>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ill>
        <patternFill patternType="solid">
          <fgColor indexed="64"/>
          <bgColor rgb="FFFFF0F0"/>
        </patternFill>
      </fill>
    </dxf>
    <dxf>
      <font>
        <b/>
        <i val="0"/>
        <color rgb="FF9C0006"/>
      </font>
      <fill>
        <patternFill patternType="solid">
          <fgColor indexed="64"/>
          <bgColor rgb="FFFFC7CE"/>
        </patternFill>
      </fill>
    </dxf>
    <dxf>
      <font>
        <color rgb="FF9C0006"/>
      </font>
      <fill>
        <patternFill patternType="solid">
          <fgColor indexed="64"/>
          <bgColor rgb="FFFFC7CE"/>
        </patternFill>
      </fill>
    </dxf>
    <dxf>
      <fill>
        <patternFill patternType="solid">
          <fgColor indexed="64"/>
          <bgColor rgb="FFFFF0F0"/>
        </patternFill>
      </fill>
    </dxf>
    <dxf>
      <font>
        <b/>
        <i val="0"/>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b/>
        <i val="0"/>
        <color rgb="FF9C6500"/>
      </font>
      <fill>
        <patternFill patternType="solid">
          <fgColor indexed="64"/>
          <bgColor rgb="FFFFEB9C"/>
        </patternFill>
      </fill>
    </dxf>
    <dxf>
      <font>
        <b/>
        <i val="0"/>
        <color rgb="FF9C6500"/>
      </font>
      <fill>
        <patternFill patternType="solid">
          <fgColor indexed="64"/>
          <bgColor rgb="FFFFEB9C"/>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alignment vertical="top"/>
      <protection locked="0"/>
    </dxf>
    <dxf>
      <alignment horizontal="center" vertical="top" wrapText="1"/>
      <protection locked="0"/>
    </dxf>
    <dxf>
      <numFmt numFmtId="167" formatCode="0.0%"/>
      <alignment horizontal="center" vertical="top" wrapText="1"/>
      <protection locked="0"/>
    </dxf>
    <dxf>
      <alignment horizontal="center" vertical="top" wrapText="1"/>
      <protection locked="0"/>
    </dxf>
    <dxf>
      <alignment vertical="top" wrapText="1"/>
      <protection locked="0"/>
    </dxf>
    <dxf>
      <alignment vertical="top" wrapText="1"/>
      <protection locked="0"/>
    </dxf>
    <dxf>
      <alignment vertical="top" wrapText="1"/>
      <protection locked="0"/>
    </dxf>
    <dxf>
      <alignment vertical="top" wrapText="1"/>
      <protection locked="0"/>
    </dxf>
    <dxf>
      <alignment horizontal="center" vertical="top"/>
      <protection locked="0"/>
    </dxf>
    <dxf>
      <alignment horizontal="center" vertical="top"/>
      <protection locked="0"/>
    </dxf>
    <dxf>
      <alignment horizontal="center" vertical="top"/>
      <protection locked="0"/>
    </dxf>
    <dxf>
      <alignment horizontal="center" vertical="top"/>
      <protection locked="0"/>
    </dxf>
    <dxf>
      <alignment vertical="top"/>
      <protection locked="0"/>
    </dxf>
    <dxf>
      <font>
        <b/>
      </font>
      <alignment vertical="top"/>
      <protection locked="0"/>
    </dxf>
    <dxf>
      <font>
        <b/>
      </font>
      <protection locked="1"/>
    </dxf>
    <dxf>
      <font>
        <color rgb="FF0000FF"/>
      </font>
      <numFmt numFmtId="166" formatCode="#,##0.00;\(#,##0.00\);&quot;-&quot;"/>
      <protection locked="0"/>
    </dxf>
    <dxf>
      <font>
        <color rgb="FF0000FF"/>
      </font>
      <alignment horizontal="center"/>
      <protection locked="0"/>
    </dxf>
    <dxf>
      <font>
        <color rgb="FF0000FF"/>
      </font>
      <numFmt numFmtId="166" formatCode="#,##0.00;\(#,##0.00\);&quot;-&quot;"/>
      <protection locked="0"/>
    </dxf>
    <dxf>
      <font>
        <color rgb="FF0000FF"/>
      </font>
      <alignment horizontal="center"/>
      <protection locked="0"/>
    </dxf>
    <dxf>
      <font>
        <color rgb="FF0000FF"/>
      </font>
      <alignment horizontal="center"/>
      <protection locked="0"/>
    </dxf>
    <dxf>
      <font>
        <color rgb="FF0000FF"/>
      </font>
      <protection locked="0"/>
    </dxf>
    <dxf>
      <font>
        <color rgb="FF0000FF"/>
      </font>
      <protection locked="0"/>
    </dxf>
    <dxf>
      <font>
        <color rgb="FF0000FF"/>
      </font>
      <numFmt numFmtId="164" formatCode="dd\-mmm\-yyyy"/>
      <alignment horizontal="center"/>
      <protection locked="0"/>
    </dxf>
    <dxf>
      <font>
        <color rgb="FF000000"/>
      </font>
      <numFmt numFmtId="1" formatCode="0"/>
      <alignment horizontal="center"/>
      <protection locked="0"/>
    </dxf>
    <dxf>
      <protection locked="1"/>
    </dxf>
    <dxf>
      <font>
        <b/>
      </font>
      <protection locked="1"/>
    </dxf>
    <dxf>
      <font>
        <color rgb="FF000000"/>
      </font>
      <numFmt numFmtId="166" formatCode="#,##0.00;\(#,##0.00\);&quot;-&quot;"/>
      <fill>
        <patternFill patternType="solid">
          <fgColor indexed="64"/>
          <bgColor rgb="FFEDEDED"/>
        </patternFill>
      </fill>
      <protection locked="1"/>
    </dxf>
    <dxf>
      <font>
        <color rgb="FF000000"/>
      </font>
      <numFmt numFmtId="166" formatCode="#,##0.00;\(#,##0.00\);&quot;-&quot;"/>
      <fill>
        <patternFill patternType="solid">
          <fgColor indexed="64"/>
          <bgColor rgb="FFEDEDED"/>
        </patternFill>
      </fill>
      <protection locked="1"/>
    </dxf>
    <dxf>
      <font>
        <color rgb="FF000000"/>
      </font>
      <numFmt numFmtId="166" formatCode="#,##0.00;\(#,##0.00\);&quot;-&quot;"/>
      <fill>
        <patternFill patternType="solid">
          <fgColor indexed="64"/>
          <bgColor rgb="FFEDEDED"/>
        </patternFill>
      </fill>
      <protection locked="1"/>
    </dxf>
    <dxf>
      <font>
        <color rgb="FF000000"/>
      </font>
      <numFmt numFmtId="166" formatCode="#,##0.00;\(#,##0.00\);&quot;-&quot;"/>
      <fill>
        <patternFill patternType="solid">
          <fgColor indexed="64"/>
          <bgColor rgb="FFEDEDED"/>
        </patternFill>
      </fill>
      <protection locked="1"/>
    </dxf>
    <dxf>
      <font>
        <color rgb="FF000000"/>
      </font>
      <numFmt numFmtId="166" formatCode="#,##0.00;\(#,##0.00\);&quot;-&quot;"/>
      <fill>
        <patternFill patternType="solid">
          <fgColor indexed="64"/>
          <bgColor rgb="FFEDEDED"/>
        </patternFill>
      </fill>
      <protection locked="1"/>
    </dxf>
    <dxf>
      <alignment wrapText="1"/>
    </dxf>
    <dxf>
      <alignment horizontal="center" wrapText="1"/>
    </dxf>
    <dxf>
      <alignment wrapText="1"/>
    </dxf>
    <dxf>
      <font>
        <b/>
      </font>
    </dxf>
    <dxf>
      <numFmt numFmtId="164" formatCode="dd\-mmm\-yyyy"/>
      <alignment horizontal="center"/>
    </dxf>
    <dxf>
      <alignment horizontal="center"/>
    </dxf>
    <dxf>
      <alignment horizontal="center"/>
    </dxf>
    <dxf>
      <numFmt numFmtId="166" formatCode="#,##0.00;\(#,##0.00\);&quot;-&quot;"/>
    </dxf>
    <dxf>
      <alignment vertical="top"/>
      <protection locked="1"/>
    </dxf>
    <dxf>
      <alignment vertical="center" wrapText="1"/>
      <protection locked="1"/>
    </dxf>
    <dxf>
      <font>
        <sz val="10"/>
      </font>
      <alignment vertical="top" wrapText="1"/>
      <protection locked="1"/>
    </dxf>
    <dxf>
      <font>
        <sz val="10"/>
      </font>
      <alignment horizontal="center" vertical="top" wrapText="1"/>
      <protection locked="1"/>
    </dxf>
    <dxf>
      <font>
        <sz val="10"/>
      </font>
      <alignment vertical="top" wrapText="1"/>
      <protection locked="1"/>
    </dxf>
    <dxf>
      <font>
        <sz val="10"/>
      </font>
      <alignment vertical="top" wrapText="1"/>
      <protection locked="1"/>
    </dxf>
    <dxf>
      <font>
        <sz val="10"/>
      </font>
      <alignment vertical="top" wrapText="1"/>
      <protection locked="1"/>
    </dxf>
    <dxf>
      <numFmt numFmtId="164" formatCode="dd\-mmm\-yyyy"/>
      <alignment horizontal="center" vertical="top" wrapText="1"/>
      <protection locked="1"/>
    </dxf>
    <dxf>
      <numFmt numFmtId="164" formatCode="dd\-mmm\-yyyy"/>
      <alignment horizontal="center" vertical="top" wrapText="1"/>
      <protection locked="1"/>
    </dxf>
    <dxf>
      <alignment horizontal="center" vertical="top" wrapText="1"/>
      <protection locked="1"/>
    </dxf>
    <dxf>
      <font>
        <b/>
        <color rgb="FF0000FF"/>
      </font>
      <fill>
        <patternFill patternType="solid">
          <fgColor indexed="64"/>
          <bgColor rgb="FFFFF2CC"/>
        </patternFill>
      </fill>
      <alignment horizontal="center" vertical="top"/>
      <protection locked="1"/>
    </dxf>
    <dxf>
      <alignment vertical="top" wrapText="1"/>
      <protection locked="1"/>
    </dxf>
    <dxf>
      <font>
        <sz val="10"/>
        <name val="Consolas"/>
      </font>
      <alignment vertical="top"/>
      <protection locked="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76106B-7E92-4C9A-A187-CDBF8F23FE6C}" name="tbl_Assumptions" displayName="tbl_Assumptions" ref="B19:L33" totalsRowShown="0" headerRowDxfId="81" dataDxfId="80">
  <autoFilter ref="B19:L33" xr:uid="{EB76106B-7E92-4C9A-A187-CDBF8F23FE6C}"/>
  <tableColumns count="11">
    <tableColumn id="1" xr3:uid="{E79180DD-FBCE-464D-B7C9-7BD53D188B99}" name="Parameter Code" dataDxfId="92"/>
    <tableColumn id="2" xr3:uid="{749A9EA0-67D6-44F5-AA90-8661DB7FCDAE}" name="Parameter" dataDxfId="91"/>
    <tableColumn id="3" xr3:uid="{6B435665-1C1A-4D31-8BAA-C86B4AB32698}" name="Value" dataDxfId="90"/>
    <tableColumn id="4" xr3:uid="{80616E87-8FBF-4B1D-B0A9-860D832EEC14}" name="Unit" dataDxfId="89"/>
    <tableColumn id="5" xr3:uid="{BD30FC9B-9D81-411A-BF35-2925F97A6C3B}" name="Effective From" dataDxfId="88"/>
    <tableColumn id="6" xr3:uid="{007A17E4-D0E6-4332-9697-22403C5DC151}" name="Effective To" dataDxfId="87"/>
    <tableColumn id="7" xr3:uid="{E33623ED-21DD-4F7B-8AB1-EB5984B49693}" name="Description / How it is used in this workbook" dataDxfId="86"/>
    <tableColumn id="8" xr3:uid="{523C2911-99D7-4D14-8CD9-6DBB76F56016}" name="Source Document (primary)" dataDxfId="85"/>
    <tableColumn id="9" xr3:uid="{6BC08ED1-3C40-4006-88E1-45924C00F6EF}" name="Section / Provision" dataDxfId="84"/>
    <tableColumn id="10" xr3:uid="{8A6EB063-6B76-4C7F-8F0F-A84D1F01ABA0}" name="Source Type" dataDxfId="83"/>
    <tableColumn id="11" xr3:uid="{11345967-04C7-41C0-811D-274C98F174C5}" name="Source Reference" dataDxfId="8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A1D2A6-562C-4BAF-8CD1-2ECA95368933}" name="tbl_Categories" displayName="tbl_Categories" ref="B7:N18" totalsRowShown="0" headerRowDxfId="55" dataDxfId="41">
  <autoFilter ref="B7:N18" xr:uid="{E7A1D2A6-562C-4BAF-8CD1-2ECA95368933}"/>
  <tableColumns count="13">
    <tableColumn id="1" xr3:uid="{6E7C631F-AFFF-4EEF-A689-B7BFE843C9E2}" name="Code" dataDxfId="54"/>
    <tableColumn id="2" xr3:uid="{9469390D-06BE-4520-BD5C-899420364E5C}" name="Category Name" dataDxfId="53"/>
    <tableColumn id="3" xr3:uid="{74B32B94-BDF6-4952-B7B1-A4A67B78BE5E}" name="VAT Class" dataDxfId="52"/>
    <tableColumn id="4" xr3:uid="{32E670C1-5076-4721-ADD7-A09E04E1A04F}" name="Direction" dataDxfId="51"/>
    <tableColumn id="5" xr3:uid="{A3E29834-CB98-4CA3-98B9-B50FAEAC2B50}" name="Charges VAT" dataDxfId="50"/>
    <tableColumn id="6" xr3:uid="{04ED59CD-C902-4ACB-A5B4-045BDE6DF3CB}" name="Input Deductible" dataDxfId="49"/>
    <tableColumn id="7" xr3:uid="{50865F43-191A-4B43-BB11-000793BA2052}" name="Plain-language definition" dataDxfId="48"/>
    <tableColumn id="8" xr3:uid="{C4F1409A-E1FB-4BC0-B9CC-B414C8A76C23}" name="VAT / input-tax treatment" dataDxfId="47"/>
    <tableColumn id="9" xr3:uid="{1C1E14D7-FADB-4EE5-B11B-90AB06E8212F}" name="Source document" dataDxfId="46"/>
    <tableColumn id="10" xr3:uid="{85F24592-D9F8-41C5-B1DC-D365267559D8}" name="Section / provision" dataDxfId="45"/>
    <tableColumn id="11" xr3:uid="{6B8536E8-FEB8-46B7-A575-75F93B148488}" name="Rate Named Range" dataDxfId="44"/>
    <tableColumn id="12" xr3:uid="{6F755028-BDBD-41F6-8F50-D6A95AF37B46}" name="Rate" dataDxfId="43">
      <calculatedColumnFormula array="1">_xlfn.SWITCH(tbl_Categories[[#This Row],[Code]],"OUT_STD",Combined_VAT_Rate,"IN_STD",Combined_VAT_Rate,"IN_NONDED",Combined_VAT_Rate,"WHT_SVC",WHT_Services,"VAT_WHT",VAT_WHT_Rate,"WHT_GOODS",WHT_Goods,"WHT_WORKS",WHT_Works,0)</calculatedColumnFormula>
    </tableColumn>
    <tableColumn id="13" xr3:uid="{7B3C7DC3-EECB-43A4-983A-8D80336F69D4}" name="Recoverable" dataDxfId="4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81CA71A-3346-41CD-8FAC-AEC9002DC661}" name="tbl_Ledger" displayName="tbl_Ledger" ref="B7:O307" totalsRowShown="0" headerRowDxfId="66" dataDxfId="65">
  <autoFilter ref="B7:O307" xr:uid="{081CA71A-3346-41CD-8FAC-AEC9002DC661}"/>
  <tableColumns count="14">
    <tableColumn id="1" xr3:uid="{E45B4B6F-7818-4A99-BE38-BBFE6D95C34F}" name="Row ID" dataDxfId="64"/>
    <tableColumn id="2" xr3:uid="{94AE4585-B7B1-41AB-9EB4-A35DC21DB44C}" name="Date" dataDxfId="63"/>
    <tableColumn id="3" xr3:uid="{6B105A56-4A1C-4004-9CB8-C22EE6B01370}" name="Description" dataDxfId="62"/>
    <tableColumn id="4" xr3:uid="{4318A987-0B4C-49D3-A7AF-03CC11EABE6E}" name="Counterparty" dataDxfId="61"/>
    <tableColumn id="5" xr3:uid="{FCC8E352-C4FF-4D66-995B-FD96D392B52F}" name="Direction" dataDxfId="60"/>
    <tableColumn id="6" xr3:uid="{238427E0-4475-492F-A362-D870A6CE29D4}" name="Tax Category" dataDxfId="59"/>
    <tableColumn id="7" xr3:uid="{003FE5FF-8F15-4001-B526-442F60C074E7}" name="Amount" dataDxfId="58"/>
    <tableColumn id="8" xr3:uid="{6AE7A34F-D202-4581-B651-E3AF57FD2FA1}" name="Invoice Number" dataDxfId="57"/>
    <tableColumn id="9" xr3:uid="{92D9818B-68BF-4C01-B837-FF28A4DE2BF9}" name="Tax Charged on Invoice" dataDxfId="56"/>
    <tableColumn id="10" xr3:uid="{EC4FA473-8E04-4C70-87A2-A11F078611EF}" name="Expected VAT" dataDxfId="71">
      <calculatedColumnFormula>IF(INDEX(Cat_ChargesVAT,MATCH(tbl_Ledger[[#This Row],[Tax Category]],Cat_Codes,0))="No",0,tbl_Ledger[[#This Row],[Amount]]*VAT_Rate)</calculatedColumnFormula>
    </tableColumn>
    <tableColumn id="11" xr3:uid="{0068942E-E2F8-4E6F-A802-C95353C5DA05}" name="Expected NHIL" dataDxfId="70">
      <calculatedColumnFormula>IF(INDEX(Cat_ChargesVAT,MATCH(tbl_Ledger[[#This Row],[Tax Category]],Cat_Codes,0))="No",0,tbl_Ledger[[#This Row],[Amount]]*NHIL_Rate)</calculatedColumnFormula>
    </tableColumn>
    <tableColumn id="12" xr3:uid="{B7010949-B082-4700-A558-262D413B50AB}" name="Expected GETFund" dataDxfId="69">
      <calculatedColumnFormula>IF(INDEX(Cat_ChargesVAT,MATCH(tbl_Ledger[[#This Row],[Tax Category]],Cat_Codes,0))="No",0,tbl_Ledger[[#This Row],[Amount]]*GETFund_Rate)</calculatedColumnFormula>
    </tableColumn>
    <tableColumn id="13" xr3:uid="{C5813446-3439-4BC9-9165-56BFBB5F5706}" name="Expected Total Tax" dataDxfId="68">
      <calculatedColumnFormula>tbl_Ledger[[#This Row],[Expected VAT]]+tbl_Ledger[[#This Row],[Expected NHIL]]+tbl_Ledger[[#This Row],[Expected GETFund]]</calculatedColumnFormula>
    </tableColumn>
    <tableColumn id="14" xr3:uid="{BC6A5878-464D-412B-90E3-D7323C1749DB}" name="Gross Amount" dataDxfId="67">
      <calculatedColumnFormula>tbl_Ledger[[#This Row],[Amount]]+tbl_Ledger[[#This Row],[Tax Charged on Invoice]]</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A49BC4B-8260-43ED-A664-FBF708C99142}" name="tbl_ErrorFlags" displayName="tbl_ErrorFlags" ref="B26:Q326" totalsRowShown="0" headerRowDxfId="6" dataDxfId="5">
  <autoFilter ref="B26:Q326" xr:uid="{DA49BC4B-8260-43ED-A664-FBF708C99142}"/>
  <tableColumns count="16">
    <tableColumn id="1" xr3:uid="{9C2F9126-B6D3-4E5B-8876-1B2349AE8A9B}" name="Row ID" dataDxfId="22">
      <calculatedColumnFormula array="1">INDEX(tbl_Ledger[Row ID],ROWS($B$27:$B27))</calculatedColumnFormula>
    </tableColumn>
    <tableColumn id="2" xr3:uid="{C48A3BC7-D847-4134-AEA8-756965C188FE}" name="Date" dataDxfId="21">
      <calculatedColumnFormula array="1">INDEX(tbl_Ledger[Date],ROWS($B$27:$B27))</calculatedColumnFormula>
    </tableColumn>
    <tableColumn id="3" xr3:uid="{C179FDC2-8A94-41FD-BB78-43B4B2868303}" name="Invoice Number" dataDxfId="20">
      <calculatedColumnFormula array="1">IF(INDEX(tbl_Ledger[Invoice Number],ROWS($B$27:$B27))="","",INDEX(tbl_Ledger[Invoice Number],ROWS($B$27:$B27)))</calculatedColumnFormula>
    </tableColumn>
    <tableColumn id="4" xr3:uid="{65A99503-49A3-4882-8EAC-242CEEB3F69B}" name="Tax Category" dataDxfId="19">
      <calculatedColumnFormula array="1">INDEX(tbl_Ledger[Tax Category],ROWS($B$27:$B27))</calculatedColumnFormula>
    </tableColumn>
    <tableColumn id="5" xr3:uid="{B5A57EC2-1807-4873-96D9-C67F46161131}" name="Direction" dataDxfId="18">
      <calculatedColumnFormula array="1">INDEX(tbl_Ledger[Direction],ROWS($B$27:$B27))</calculatedColumnFormula>
    </tableColumn>
    <tableColumn id="6" xr3:uid="{92A85D03-B357-4611-87F0-B1B1DC444787}" name="Tax Charged" dataDxfId="17">
      <calculatedColumnFormula array="1">INDEX(tbl_Ledger[Tax Charged on Invoice],ROWS($B$27:$B27))</calculatedColumnFormula>
    </tableColumn>
    <tableColumn id="7" xr3:uid="{F8336670-3E2D-4821-ADD5-0DDF0033B489}" name="Expected Total Tax" dataDxfId="16">
      <calculatedColumnFormula array="1">INDEX(tbl_Ledger[Expected Total Tax],ROWS($B$27:$B27))</calculatedColumnFormula>
    </tableColumn>
    <tableColumn id="14" xr3:uid="{35220206-C31E-4172-9D39-5E41618FE602}" name="Description" dataDxfId="15">
      <calculatedColumnFormula array="1">INDEX(tbl_Ledger[Description],ROWS($B$27:$B27))</calculatedColumnFormula>
    </tableColumn>
    <tableColumn id="15" xr3:uid="{620D61ED-8452-4746-B41B-6F793426423E}" name="Counterparty" dataDxfId="14">
      <calculatedColumnFormula array="1">INDEX(tbl_Ledger[Counterparty],ROWS($B$27:$B27))</calculatedColumnFormula>
    </tableColumn>
    <tableColumn id="8" xr3:uid="{F592ABD9-A4CE-4B28-A64F-6CF9E77D6DCE}" name="In Duplicate Scope" dataDxfId="13">
      <calculatedColumnFormula>IF(COUNTIF(Dup_Exclusions,$E27)&gt;0,"No","Yes")</calculatedColumnFormula>
    </tableColumn>
    <tableColumn id="9" xr3:uid="{A27B10EC-6D15-458B-B919-B73840972FBC}" name="Missing Invoice" dataDxfId="12">
      <calculatedColumnFormula>IF(AND($D27="",COUNTIF(NoInv_Exempt,$E27)=0),"Yes","No")</calculatedColumnFormula>
    </tableColumn>
    <tableColumn id="10" xr3:uid="{0BD2DB7A-5104-4C76-BE3A-968876B1EF11}" name="Duplicate Invoice" dataDxfId="11">
      <calculatedColumnFormula array="1">IF(AND($D27&lt;&gt;"",$K27="Yes"),IF(SUMPRODUCT((tbl_Ledger[Invoice Number]=$D27)*(COUNTIF(Dup_Exclusions,tbl_Ledger[Tax Category])=0))&gt;1,"Yes","No"),"No")</calculatedColumnFormula>
    </tableColumn>
    <tableColumn id="11" xr3:uid="{E4583C61-D754-4759-B80A-CC7C535FF6F6}" name="Wrong Tax Amount" dataDxfId="10">
      <calculatedColumnFormula>IF(ABS($G27-$H27)&gt;Tax_Tolerance,"Yes","No")</calculatedColumnFormula>
    </tableColumn>
    <tableColumn id="12" xr3:uid="{D7E80F32-9954-4C7E-8022-AD7C8CEC75F7}" name="Wrong Category Signal" dataDxfId="9">
      <calculatedColumnFormula>IF(OR(AND($F27="Inflow",LEFT($E27,LEN(Prefix_Outflow))=Prefix_Outflow),AND($F27="Outflow",LEFT($E27,LEN(Prefix_Inflow))=Prefix_Inflow)),"Yes","No")</calculatedColumnFormula>
    </tableColumn>
    <tableColumn id="16" xr3:uid="{2472B1A3-624E-453F-BA4D-C51C5B526197}" name="Suspect Category" dataDxfId="8">
      <calculatedColumnFormula array="1">IF(AND(COUNTIF(Suspect_Categories,$E27)&gt;0,SUMPRODUCT(--ISNUMBER(SEARCH(Suspect_Keywords,$I27&amp;" "&amp;$J27)))&gt;0),"Yes","No")</calculatedColumnFormula>
    </tableColumn>
    <tableColumn id="13" xr3:uid="{2E305238-1C6C-483D-81F4-5BB6D62F02FA}" name="Any Flag" dataDxfId="7">
      <calculatedColumnFormula>IF(COUNTIF($L27:$P27,"Yes")&gt;0,"Yes","No")</calculatedColumnFormula>
    </tableColumn>
  </tableColumns>
  <tableStyleInfo name="TableStyleLight15"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3E042FF-5A62-4BE2-A4E6-0DFF78E133CC}" name="tbl_ErrorKey" displayName="tbl_ErrorKey" ref="B5:J17" totalsRowShown="0" headerRowDxfId="75">
  <autoFilter ref="B5:J17" xr:uid="{33E042FF-5A62-4BE2-A4E6-0DFF78E133CC}"/>
  <tableColumns count="9">
    <tableColumn id="1" xr3:uid="{A3C8EB9B-5AB9-4559-A8CF-6FE2B3969ACC}" name="Row ID" dataDxfId="78"/>
    <tableColumn id="2" xr3:uid="{680948F0-2292-441A-808A-4C90C6F462C5}" name="Error type"/>
    <tableColumn id="3" xr3:uid="{036319E6-3827-430D-B807-608105492705}" name="Correct value"/>
    <tableColumn id="4" xr3:uid="{D36C83E0-50B8-4554-A0AE-68D2DD53B52B}" name="Recorded category" dataDxfId="77"/>
    <tableColumn id="5" xr3:uid="{C17CD740-A303-488B-8C9D-2A21B8A790E5}" name="Date" dataDxfId="76"/>
    <tableColumn id="6" xr3:uid="{BA70F38E-D16D-48A9-9066-35ECCBBC688D}" name="Amount" dataDxfId="79"/>
    <tableColumn id="7" xr3:uid="{2D85D481-7734-4D7B-9917-C116FCC0150A}" name="Description" dataDxfId="74"/>
    <tableColumn id="8" xr3:uid="{99DF7F4F-8368-4621-AE34-32B499E588D7}" name="Invoice on Ledger" dataDxfId="73"/>
    <tableColumn id="9" xr3:uid="{D4A3BB76-77A8-49DE-AFDB-F845D94FC390}" name="How the error was introduced" dataDxfId="72"/>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26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7075EB9-285A-4291-BC92-165E3546AEB9}">
  <we:reference id="wa200009404" version="1.0.0.8" store="en-US" storeType="OMEX"/>
  <we:alternateReferences>
    <we:reference id="WA200009404" version="1.0.0.8" store="" storeType="OMEX"/>
  </we:alternateReferences>
  <we:properties>
    <we:property name="claude.fileId" value="&quot;29e5dc07-ce8e-496a-953a-045fa8a5c9c0&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00B92-74CD-4DC6-ABD3-8B769E3556A3}">
  <sheetPr>
    <tabColor rgb="FF1F3864"/>
  </sheetPr>
  <dimension ref="B1:L80"/>
  <sheetViews>
    <sheetView showGridLines="0" workbookViewId="0">
      <pane ySplit="3" topLeftCell="A60" activePane="bottomLeft" state="frozen"/>
      <selection pane="bottomLeft" activeCell="B51" sqref="B51:L51"/>
    </sheetView>
  </sheetViews>
  <sheetFormatPr defaultRowHeight="14.4" x14ac:dyDescent="0.3"/>
  <cols>
    <col min="1" max="1" width="2.5546875" customWidth="1"/>
    <col min="2" max="2" width="27.77734375" customWidth="1"/>
    <col min="3" max="3" width="42.5546875" customWidth="1"/>
    <col min="4" max="4" width="17.5546875" customWidth="1"/>
    <col min="5" max="5" width="14.77734375" customWidth="1"/>
    <col min="6" max="7" width="17.5546875" customWidth="1"/>
    <col min="8" max="8" width="61.109375" customWidth="1"/>
    <col min="9" max="9" width="55.5546875" customWidth="1"/>
    <col min="10" max="10" width="37" customWidth="1"/>
    <col min="11" max="11" width="20.33203125" customWidth="1"/>
    <col min="12" max="12" width="42.5546875" customWidth="1"/>
  </cols>
  <sheetData>
    <row r="1" spans="2:12" ht="34.049999999999997" customHeight="1" x14ac:dyDescent="0.3">
      <c r="B1" s="7" t="s">
        <v>0</v>
      </c>
      <c r="C1" s="7"/>
      <c r="D1" s="7"/>
      <c r="E1" s="7"/>
      <c r="F1" s="7"/>
      <c r="G1" s="7"/>
      <c r="H1" s="7"/>
      <c r="I1" s="7"/>
      <c r="J1" s="7"/>
      <c r="K1" s="7"/>
      <c r="L1" s="7"/>
    </row>
    <row r="2" spans="2:12" ht="19.95" customHeight="1" x14ac:dyDescent="0.3">
      <c r="B2" s="8" t="s">
        <v>1</v>
      </c>
      <c r="C2" s="8"/>
      <c r="D2" s="8"/>
      <c r="E2" s="8"/>
      <c r="F2" s="8"/>
      <c r="G2" s="8"/>
      <c r="H2" s="8"/>
      <c r="I2" s="8"/>
      <c r="J2" s="8"/>
      <c r="K2" s="8"/>
      <c r="L2" s="8"/>
    </row>
    <row r="3" spans="2:12" ht="30" customHeight="1" x14ac:dyDescent="0.3">
      <c r="B3" s="9" t="s">
        <v>2</v>
      </c>
      <c r="C3" s="10"/>
      <c r="D3" s="10"/>
      <c r="E3" s="10"/>
      <c r="F3" s="10"/>
      <c r="G3" s="10"/>
      <c r="H3" s="10"/>
      <c r="I3" s="10"/>
      <c r="J3" s="10"/>
      <c r="K3" s="10"/>
      <c r="L3" s="10"/>
    </row>
    <row r="4" spans="2:12" x14ac:dyDescent="0.3">
      <c r="B4" s="11"/>
      <c r="C4" s="11"/>
      <c r="D4" s="11"/>
      <c r="E4" s="11"/>
      <c r="F4" s="11"/>
      <c r="G4" s="11"/>
      <c r="H4" s="11"/>
      <c r="I4" s="11"/>
      <c r="J4" s="11"/>
      <c r="K4" s="11"/>
      <c r="L4" s="11"/>
    </row>
    <row r="5" spans="2:12" ht="22.05" customHeight="1" x14ac:dyDescent="0.3">
      <c r="B5" s="12" t="s">
        <v>3</v>
      </c>
      <c r="C5" s="12"/>
      <c r="D5" s="12"/>
      <c r="E5" s="12"/>
      <c r="F5" s="12"/>
      <c r="G5" s="12"/>
      <c r="H5" s="12"/>
      <c r="I5" s="12"/>
      <c r="J5" s="12"/>
      <c r="K5" s="12"/>
      <c r="L5" s="12"/>
    </row>
    <row r="6" spans="2:12" x14ac:dyDescent="0.3">
      <c r="B6" s="13" t="s">
        <v>4</v>
      </c>
      <c r="C6" s="14"/>
      <c r="D6" s="15" t="s">
        <v>5</v>
      </c>
      <c r="E6" s="15"/>
      <c r="F6" s="15"/>
      <c r="G6" s="15"/>
      <c r="H6" s="14" t="s">
        <v>6</v>
      </c>
      <c r="I6" s="14"/>
      <c r="J6" s="14"/>
      <c r="K6" s="14"/>
      <c r="L6" s="16"/>
    </row>
    <row r="7" spans="2:12" x14ac:dyDescent="0.3">
      <c r="B7" s="17" t="s">
        <v>7</v>
      </c>
      <c r="C7" s="18"/>
      <c r="D7" s="54" t="s">
        <v>8</v>
      </c>
      <c r="E7" s="54"/>
      <c r="F7" s="54"/>
      <c r="G7" s="54"/>
      <c r="H7" s="19" t="s">
        <v>9</v>
      </c>
      <c r="I7" s="19"/>
      <c r="J7" s="19"/>
      <c r="K7" s="19"/>
      <c r="L7" s="20"/>
    </row>
    <row r="8" spans="2:12" x14ac:dyDescent="0.3">
      <c r="B8" s="17" t="s">
        <v>10</v>
      </c>
      <c r="C8" s="18"/>
      <c r="D8" s="54" t="s">
        <v>11</v>
      </c>
      <c r="E8" s="54"/>
      <c r="F8" s="54"/>
      <c r="G8" s="54"/>
      <c r="H8" s="19" t="s">
        <v>12</v>
      </c>
      <c r="I8" s="19"/>
      <c r="J8" s="19"/>
      <c r="K8" s="19"/>
      <c r="L8" s="20"/>
    </row>
    <row r="9" spans="2:12" x14ac:dyDescent="0.3">
      <c r="B9" s="17" t="s">
        <v>13</v>
      </c>
      <c r="C9" s="18"/>
      <c r="D9" s="54" t="s">
        <v>14</v>
      </c>
      <c r="E9" s="54"/>
      <c r="F9" s="54"/>
      <c r="G9" s="54"/>
      <c r="H9" s="19" t="s">
        <v>15</v>
      </c>
      <c r="I9" s="19"/>
      <c r="J9" s="19"/>
      <c r="K9" s="19"/>
      <c r="L9" s="20"/>
    </row>
    <row r="10" spans="2:12" x14ac:dyDescent="0.3">
      <c r="B10" s="17" t="s">
        <v>16</v>
      </c>
      <c r="C10" s="18"/>
      <c r="D10" s="55">
        <v>46023</v>
      </c>
      <c r="E10" s="55"/>
      <c r="F10" s="55"/>
      <c r="G10" s="55"/>
      <c r="H10" s="19" t="s">
        <v>17</v>
      </c>
      <c r="I10" s="19"/>
      <c r="J10" s="19"/>
      <c r="K10" s="19"/>
      <c r="L10" s="20"/>
    </row>
    <row r="11" spans="2:12" x14ac:dyDescent="0.3">
      <c r="B11" s="17" t="s">
        <v>18</v>
      </c>
      <c r="C11" s="18"/>
      <c r="D11" s="55">
        <v>46387</v>
      </c>
      <c r="E11" s="55"/>
      <c r="F11" s="55"/>
      <c r="G11" s="55"/>
      <c r="H11" s="19" t="s">
        <v>19</v>
      </c>
      <c r="I11" s="19"/>
      <c r="J11" s="19"/>
      <c r="K11" s="19"/>
      <c r="L11" s="20"/>
    </row>
    <row r="12" spans="2:12" x14ac:dyDescent="0.3">
      <c r="B12" s="75" t="s">
        <v>163</v>
      </c>
      <c r="C12" s="76"/>
      <c r="D12" s="80">
        <v>2026</v>
      </c>
      <c r="E12" s="77"/>
      <c r="F12" s="77"/>
      <c r="G12" s="77"/>
      <c r="H12" s="78" t="s">
        <v>164</v>
      </c>
      <c r="I12" s="78"/>
      <c r="J12" s="78"/>
      <c r="K12" s="78"/>
      <c r="L12" s="79"/>
    </row>
    <row r="13" spans="2:12" x14ac:dyDescent="0.3">
      <c r="B13" s="17" t="s">
        <v>20</v>
      </c>
      <c r="C13" s="18"/>
      <c r="D13" s="55">
        <v>46286</v>
      </c>
      <c r="E13" s="55"/>
      <c r="F13" s="55"/>
      <c r="G13" s="55"/>
      <c r="H13" s="19" t="s">
        <v>21</v>
      </c>
      <c r="I13" s="19"/>
      <c r="J13" s="19"/>
      <c r="K13" s="19"/>
      <c r="L13" s="20"/>
    </row>
    <row r="14" spans="2:12" x14ac:dyDescent="0.3">
      <c r="B14" s="17" t="s">
        <v>22</v>
      </c>
      <c r="C14" s="18"/>
      <c r="D14" s="54" t="s">
        <v>23</v>
      </c>
      <c r="E14" s="54"/>
      <c r="F14" s="54"/>
      <c r="G14" s="54"/>
      <c r="H14" s="19" t="s">
        <v>24</v>
      </c>
      <c r="I14" s="19"/>
      <c r="J14" s="19"/>
      <c r="K14" s="19"/>
      <c r="L14" s="20"/>
    </row>
    <row r="15" spans="2:12" x14ac:dyDescent="0.3">
      <c r="B15" s="17" t="s">
        <v>25</v>
      </c>
      <c r="C15" s="18"/>
      <c r="D15" s="54" t="s">
        <v>26</v>
      </c>
      <c r="E15" s="54"/>
      <c r="F15" s="54"/>
      <c r="G15" s="54"/>
      <c r="H15" s="19" t="s">
        <v>27</v>
      </c>
      <c r="I15" s="19"/>
      <c r="J15" s="19"/>
      <c r="K15" s="19"/>
      <c r="L15" s="20"/>
    </row>
    <row r="16" spans="2:12" x14ac:dyDescent="0.3">
      <c r="B16" s="21" t="s">
        <v>28</v>
      </c>
      <c r="C16" s="22"/>
      <c r="D16" s="56" t="s">
        <v>29</v>
      </c>
      <c r="E16" s="56"/>
      <c r="F16" s="56"/>
      <c r="G16" s="56"/>
      <c r="H16" s="23" t="s">
        <v>30</v>
      </c>
      <c r="I16" s="23"/>
      <c r="J16" s="23"/>
      <c r="K16" s="23"/>
      <c r="L16" s="24"/>
    </row>
    <row r="17" spans="2:12" x14ac:dyDescent="0.3">
      <c r="B17" s="11"/>
      <c r="C17" s="11"/>
      <c r="D17" s="11"/>
      <c r="E17" s="11"/>
      <c r="F17" s="11"/>
      <c r="G17" s="11"/>
      <c r="H17" s="11"/>
      <c r="I17" s="11"/>
      <c r="J17" s="11"/>
      <c r="K17" s="11"/>
      <c r="L17" s="11"/>
    </row>
    <row r="18" spans="2:12" ht="22.05" customHeight="1" x14ac:dyDescent="0.3">
      <c r="B18" s="12" t="s">
        <v>31</v>
      </c>
      <c r="C18" s="12"/>
      <c r="D18" s="12"/>
      <c r="E18" s="12"/>
      <c r="F18" s="12"/>
      <c r="G18" s="12"/>
      <c r="H18" s="12"/>
      <c r="I18" s="12"/>
      <c r="J18" s="12"/>
      <c r="K18" s="12"/>
      <c r="L18" s="12"/>
    </row>
    <row r="19" spans="2:12" ht="31.95" customHeight="1" x14ac:dyDescent="0.3">
      <c r="B19" s="25" t="s">
        <v>32</v>
      </c>
      <c r="C19" s="25" t="s">
        <v>4</v>
      </c>
      <c r="D19" s="26" t="s">
        <v>33</v>
      </c>
      <c r="E19" s="25" t="s">
        <v>34</v>
      </c>
      <c r="F19" s="25" t="s">
        <v>35</v>
      </c>
      <c r="G19" s="25" t="s">
        <v>36</v>
      </c>
      <c r="H19" s="25" t="s">
        <v>37</v>
      </c>
      <c r="I19" s="25" t="s">
        <v>38</v>
      </c>
      <c r="J19" s="25" t="s">
        <v>39</v>
      </c>
      <c r="K19" s="25" t="s">
        <v>40</v>
      </c>
      <c r="L19" s="25" t="s">
        <v>41</v>
      </c>
    </row>
    <row r="20" spans="2:12" ht="28.8" x14ac:dyDescent="0.3">
      <c r="B20" s="27" t="s">
        <v>42</v>
      </c>
      <c r="C20" s="28" t="s">
        <v>43</v>
      </c>
      <c r="D20" s="57">
        <v>0.15</v>
      </c>
      <c r="E20" s="68" t="s">
        <v>44</v>
      </c>
      <c r="F20" s="69">
        <v>46023</v>
      </c>
      <c r="G20" s="69" t="s">
        <v>45</v>
      </c>
      <c r="H20" s="59" t="s">
        <v>46</v>
      </c>
      <c r="I20" s="59" t="s">
        <v>47</v>
      </c>
      <c r="J20" s="59" t="s">
        <v>155</v>
      </c>
      <c r="K20" s="60" t="s">
        <v>48</v>
      </c>
      <c r="L20" s="59" t="s">
        <v>49</v>
      </c>
    </row>
    <row r="21" spans="2:12" ht="69" x14ac:dyDescent="0.3">
      <c r="B21" s="27" t="s">
        <v>50</v>
      </c>
      <c r="C21" s="28" t="s">
        <v>51</v>
      </c>
      <c r="D21" s="57">
        <v>2.5000000000000001E-2</v>
      </c>
      <c r="E21" s="68" t="s">
        <v>44</v>
      </c>
      <c r="F21" s="69">
        <v>46023</v>
      </c>
      <c r="G21" s="69" t="s">
        <v>45</v>
      </c>
      <c r="H21" s="59" t="s">
        <v>52</v>
      </c>
      <c r="I21" s="59" t="s">
        <v>153</v>
      </c>
      <c r="J21" s="65" t="s">
        <v>162</v>
      </c>
      <c r="K21" s="60" t="s">
        <v>48</v>
      </c>
      <c r="L21" s="59" t="s">
        <v>49</v>
      </c>
    </row>
    <row r="22" spans="2:12" ht="69" x14ac:dyDescent="0.3">
      <c r="B22" s="27" t="s">
        <v>53</v>
      </c>
      <c r="C22" s="28" t="s">
        <v>54</v>
      </c>
      <c r="D22" s="57">
        <v>2.5000000000000001E-2</v>
      </c>
      <c r="E22" s="68" t="s">
        <v>44</v>
      </c>
      <c r="F22" s="69">
        <v>46023</v>
      </c>
      <c r="G22" s="69" t="s">
        <v>45</v>
      </c>
      <c r="H22" s="59" t="s">
        <v>52</v>
      </c>
      <c r="I22" s="59" t="s">
        <v>154</v>
      </c>
      <c r="J22" s="65" t="s">
        <v>161</v>
      </c>
      <c r="K22" s="60" t="s">
        <v>48</v>
      </c>
      <c r="L22" s="59" t="s">
        <v>49</v>
      </c>
    </row>
    <row r="23" spans="2:12" ht="41.4" x14ac:dyDescent="0.3">
      <c r="B23" s="27" t="s">
        <v>55</v>
      </c>
      <c r="C23" s="28" t="s">
        <v>56</v>
      </c>
      <c r="D23" s="57">
        <v>0</v>
      </c>
      <c r="E23" s="68" t="s">
        <v>44</v>
      </c>
      <c r="F23" s="69">
        <v>46023</v>
      </c>
      <c r="G23" s="69" t="s">
        <v>45</v>
      </c>
      <c r="H23" s="59" t="s">
        <v>57</v>
      </c>
      <c r="I23" s="59" t="s">
        <v>151</v>
      </c>
      <c r="J23" s="59" t="s">
        <v>152</v>
      </c>
      <c r="K23" s="60" t="s">
        <v>48</v>
      </c>
      <c r="L23" s="59" t="s">
        <v>49</v>
      </c>
    </row>
    <row r="24" spans="2:12" ht="28.8" x14ac:dyDescent="0.3">
      <c r="B24" s="31" t="s">
        <v>58</v>
      </c>
      <c r="C24" s="32" t="s">
        <v>59</v>
      </c>
      <c r="D24" s="61">
        <v>0.01</v>
      </c>
      <c r="E24" s="70" t="s">
        <v>44</v>
      </c>
      <c r="F24" s="71">
        <v>44317</v>
      </c>
      <c r="G24" s="71">
        <v>46022</v>
      </c>
      <c r="H24" s="62" t="s">
        <v>60</v>
      </c>
      <c r="I24" s="62" t="s">
        <v>61</v>
      </c>
      <c r="J24" s="62" t="s">
        <v>62</v>
      </c>
      <c r="K24" s="63" t="s">
        <v>48</v>
      </c>
      <c r="L24" s="62" t="s">
        <v>49</v>
      </c>
    </row>
    <row r="25" spans="2:12" ht="41.4" x14ac:dyDescent="0.3">
      <c r="B25" s="27" t="s">
        <v>63</v>
      </c>
      <c r="C25" s="28" t="s">
        <v>64</v>
      </c>
      <c r="D25" s="33">
        <f>D20+D21+D22+D23</f>
        <v>0.19999999999999998</v>
      </c>
      <c r="E25" s="72" t="s">
        <v>44</v>
      </c>
      <c r="F25" s="73">
        <f>F20</f>
        <v>46023</v>
      </c>
      <c r="G25" s="73" t="s">
        <v>45</v>
      </c>
      <c r="H25" s="29" t="s">
        <v>65</v>
      </c>
      <c r="I25" s="29" t="s">
        <v>66</v>
      </c>
      <c r="J25" s="29" t="s">
        <v>67</v>
      </c>
      <c r="K25" s="30" t="s">
        <v>68</v>
      </c>
      <c r="L25" s="29" t="s">
        <v>49</v>
      </c>
    </row>
    <row r="26" spans="2:12" ht="41.4" x14ac:dyDescent="0.3">
      <c r="B26" s="27" t="s">
        <v>138</v>
      </c>
      <c r="C26" s="28" t="s">
        <v>139</v>
      </c>
      <c r="D26" s="67" t="s">
        <v>140</v>
      </c>
      <c r="E26" s="68" t="s">
        <v>141</v>
      </c>
      <c r="F26" s="69">
        <v>46023</v>
      </c>
      <c r="G26" s="69" t="s">
        <v>45</v>
      </c>
      <c r="H26" s="59" t="s">
        <v>142</v>
      </c>
      <c r="I26" s="59" t="s">
        <v>73</v>
      </c>
      <c r="J26" s="59" t="s">
        <v>143</v>
      </c>
      <c r="K26" s="60" t="s">
        <v>48</v>
      </c>
      <c r="L26" s="59" t="s">
        <v>144</v>
      </c>
    </row>
    <row r="27" spans="2:12" ht="27.6" x14ac:dyDescent="0.3">
      <c r="B27" s="27" t="s">
        <v>69</v>
      </c>
      <c r="C27" s="28" t="s">
        <v>70</v>
      </c>
      <c r="D27" s="64">
        <v>750000</v>
      </c>
      <c r="E27" s="68" t="s">
        <v>71</v>
      </c>
      <c r="F27" s="69">
        <v>46023</v>
      </c>
      <c r="G27" s="69" t="s">
        <v>45</v>
      </c>
      <c r="H27" s="59" t="s">
        <v>72</v>
      </c>
      <c r="I27" s="59" t="s">
        <v>73</v>
      </c>
      <c r="J27" s="59" t="s">
        <v>74</v>
      </c>
      <c r="K27" s="60" t="s">
        <v>82</v>
      </c>
      <c r="L27" s="59" t="s">
        <v>144</v>
      </c>
    </row>
    <row r="28" spans="2:12" ht="57.6" x14ac:dyDescent="0.3">
      <c r="B28" s="27" t="s">
        <v>76</v>
      </c>
      <c r="C28" s="28" t="s">
        <v>77</v>
      </c>
      <c r="D28" s="67" t="s">
        <v>145</v>
      </c>
      <c r="E28" s="68" t="s">
        <v>146</v>
      </c>
      <c r="F28" s="69">
        <v>46023</v>
      </c>
      <c r="G28" s="69" t="s">
        <v>45</v>
      </c>
      <c r="H28" s="59" t="s">
        <v>147</v>
      </c>
      <c r="I28" s="59" t="s">
        <v>78</v>
      </c>
      <c r="J28" s="59" t="s">
        <v>148</v>
      </c>
      <c r="K28" s="66" t="s">
        <v>48</v>
      </c>
      <c r="L28" s="59" t="s">
        <v>144</v>
      </c>
    </row>
    <row r="29" spans="2:12" ht="55.2" x14ac:dyDescent="0.3">
      <c r="B29" s="27" t="s">
        <v>79</v>
      </c>
      <c r="C29" s="28" t="s">
        <v>80</v>
      </c>
      <c r="D29" s="57">
        <v>7.0000000000000007E-2</v>
      </c>
      <c r="E29" s="68" t="s">
        <v>44</v>
      </c>
      <c r="F29" s="69">
        <v>46023</v>
      </c>
      <c r="G29" s="69" t="s">
        <v>45</v>
      </c>
      <c r="H29" s="59" t="s">
        <v>156</v>
      </c>
      <c r="I29" s="59" t="s">
        <v>81</v>
      </c>
      <c r="J29" s="65" t="s">
        <v>160</v>
      </c>
      <c r="K29" s="60" t="s">
        <v>82</v>
      </c>
      <c r="L29" s="59" t="s">
        <v>83</v>
      </c>
    </row>
    <row r="30" spans="2:12" ht="28.8" x14ac:dyDescent="0.3">
      <c r="B30" s="27" t="s">
        <v>84</v>
      </c>
      <c r="C30" s="28" t="s">
        <v>85</v>
      </c>
      <c r="D30" s="57">
        <v>0.03</v>
      </c>
      <c r="E30" s="68" t="s">
        <v>86</v>
      </c>
      <c r="F30" s="74" t="s">
        <v>149</v>
      </c>
      <c r="G30" s="69" t="s">
        <v>45</v>
      </c>
      <c r="H30" s="59" t="s">
        <v>87</v>
      </c>
      <c r="I30" s="59" t="s">
        <v>88</v>
      </c>
      <c r="J30" s="59" t="s">
        <v>89</v>
      </c>
      <c r="K30" s="60" t="s">
        <v>75</v>
      </c>
      <c r="L30" s="59" t="s">
        <v>90</v>
      </c>
    </row>
    <row r="31" spans="2:12" ht="28.8" x14ac:dyDescent="0.3">
      <c r="B31" s="27" t="s">
        <v>91</v>
      </c>
      <c r="C31" s="28" t="s">
        <v>92</v>
      </c>
      <c r="D31" s="57">
        <v>7.4999999999999997E-2</v>
      </c>
      <c r="E31" s="68" t="s">
        <v>86</v>
      </c>
      <c r="F31" s="74" t="s">
        <v>149</v>
      </c>
      <c r="G31" s="69" t="s">
        <v>45</v>
      </c>
      <c r="H31" s="59" t="s">
        <v>93</v>
      </c>
      <c r="I31" s="59" t="s">
        <v>88</v>
      </c>
      <c r="J31" s="59" t="s">
        <v>94</v>
      </c>
      <c r="K31" s="60" t="s">
        <v>75</v>
      </c>
      <c r="L31" s="59" t="s">
        <v>90</v>
      </c>
    </row>
    <row r="32" spans="2:12" ht="28.8" x14ac:dyDescent="0.3">
      <c r="B32" s="27" t="s">
        <v>95</v>
      </c>
      <c r="C32" s="28" t="s">
        <v>96</v>
      </c>
      <c r="D32" s="57">
        <v>0.05</v>
      </c>
      <c r="E32" s="68" t="s">
        <v>86</v>
      </c>
      <c r="F32" s="74" t="s">
        <v>149</v>
      </c>
      <c r="G32" s="69" t="s">
        <v>45</v>
      </c>
      <c r="H32" s="59" t="s">
        <v>97</v>
      </c>
      <c r="I32" s="59" t="s">
        <v>88</v>
      </c>
      <c r="J32" s="59" t="s">
        <v>98</v>
      </c>
      <c r="K32" s="60" t="s">
        <v>75</v>
      </c>
      <c r="L32" s="59" t="s">
        <v>90</v>
      </c>
    </row>
    <row r="33" spans="2:12" ht="43.2" x14ac:dyDescent="0.3">
      <c r="B33" s="27" t="s">
        <v>99</v>
      </c>
      <c r="C33" s="28" t="s">
        <v>100</v>
      </c>
      <c r="D33" s="64">
        <v>2000</v>
      </c>
      <c r="E33" s="68" t="s">
        <v>157</v>
      </c>
      <c r="F33" s="74" t="s">
        <v>149</v>
      </c>
      <c r="G33" s="69" t="s">
        <v>45</v>
      </c>
      <c r="H33" s="59" t="s">
        <v>158</v>
      </c>
      <c r="I33" s="59" t="s">
        <v>159</v>
      </c>
      <c r="J33" s="59" t="s">
        <v>101</v>
      </c>
      <c r="K33" s="60" t="s">
        <v>75</v>
      </c>
      <c r="L33" s="59" t="s">
        <v>90</v>
      </c>
    </row>
    <row r="34" spans="2:12" ht="22.05" customHeight="1" x14ac:dyDescent="0.3">
      <c r="B34" s="11"/>
      <c r="C34" s="11"/>
      <c r="D34" s="11"/>
      <c r="E34" s="11"/>
      <c r="F34" s="11"/>
      <c r="G34" s="11"/>
      <c r="H34" s="11"/>
      <c r="I34" s="11"/>
      <c r="J34" s="11"/>
      <c r="K34" s="11"/>
      <c r="L34" s="11"/>
    </row>
    <row r="35" spans="2:12" ht="15.6" x14ac:dyDescent="0.3">
      <c r="B35" s="12" t="s">
        <v>102</v>
      </c>
      <c r="C35" s="12"/>
      <c r="D35" s="12"/>
      <c r="E35" s="12"/>
      <c r="F35" s="12"/>
      <c r="G35" s="12"/>
      <c r="H35" s="12"/>
      <c r="I35" s="12"/>
      <c r="J35" s="12"/>
      <c r="K35" s="12"/>
      <c r="L35" s="12"/>
    </row>
    <row r="36" spans="2:12" x14ac:dyDescent="0.3">
      <c r="B36" s="34" t="s">
        <v>103</v>
      </c>
      <c r="C36" s="34"/>
      <c r="D36" s="35" t="s">
        <v>104</v>
      </c>
      <c r="E36" s="35" t="s">
        <v>105</v>
      </c>
      <c r="F36" s="35" t="s">
        <v>106</v>
      </c>
      <c r="G36" s="11"/>
      <c r="H36" s="11"/>
      <c r="I36" s="11"/>
      <c r="J36" s="11"/>
      <c r="K36" s="11"/>
      <c r="L36" s="11"/>
    </row>
    <row r="37" spans="2:12" x14ac:dyDescent="0.3">
      <c r="B37" s="36" t="s">
        <v>107</v>
      </c>
      <c r="C37" s="36"/>
      <c r="D37" s="37">
        <v>0.2</v>
      </c>
      <c r="E37" s="37">
        <f>D25</f>
        <v>0.19999999999999998</v>
      </c>
      <c r="F37" s="38" t="str">
        <f>IF(ABS(E37-D37)&lt;0.000001,"OK","REVIEW")</f>
        <v>OK</v>
      </c>
      <c r="G37" s="11"/>
      <c r="H37" s="11"/>
      <c r="I37" s="11"/>
      <c r="J37" s="11"/>
      <c r="K37" s="11"/>
      <c r="L37" s="11"/>
    </row>
    <row r="38" spans="2:12" x14ac:dyDescent="0.3">
      <c r="B38" s="36" t="s">
        <v>108</v>
      </c>
      <c r="C38" s="36"/>
      <c r="D38" s="37">
        <v>0</v>
      </c>
      <c r="E38" s="37">
        <f>D23</f>
        <v>0</v>
      </c>
      <c r="F38" s="38" t="str">
        <f>IF(E38=D38,"OK","REVIEW")</f>
        <v>OK</v>
      </c>
      <c r="G38" s="11"/>
      <c r="H38" s="11"/>
      <c r="I38" s="11"/>
      <c r="J38" s="11"/>
      <c r="K38" s="11"/>
      <c r="L38" s="11"/>
    </row>
    <row r="39" spans="2:12" x14ac:dyDescent="0.3">
      <c r="B39" s="36" t="s">
        <v>109</v>
      </c>
      <c r="C39" s="36"/>
      <c r="D39" s="39" t="s">
        <v>110</v>
      </c>
      <c r="E39" s="39" t="str">
        <f>IF(AND(D10&gt;=F20,D11&gt;=F20),"Yes","No")</f>
        <v>Yes</v>
      </c>
      <c r="F39" s="38" t="str">
        <f>IF(E39=D39,"OK","REVIEW")</f>
        <v>OK</v>
      </c>
      <c r="G39" s="11"/>
      <c r="H39" s="11"/>
      <c r="I39" s="11"/>
      <c r="J39" s="11"/>
      <c r="K39" s="11"/>
      <c r="L39" s="11"/>
    </row>
    <row r="40" spans="2:12" x14ac:dyDescent="0.3">
      <c r="B40" s="36" t="s">
        <v>111</v>
      </c>
      <c r="C40" s="36"/>
      <c r="D40" s="39">
        <v>0</v>
      </c>
      <c r="E40" s="39">
        <f>COUNTBLANK(I20:I33)</f>
        <v>0</v>
      </c>
      <c r="F40" s="38" t="str">
        <f>IF(E40=D40,"OK","REVIEW")</f>
        <v>OK</v>
      </c>
      <c r="G40" s="11"/>
      <c r="H40" s="11"/>
      <c r="I40" s="11"/>
      <c r="J40" s="11"/>
      <c r="K40" s="11"/>
      <c r="L40" s="11"/>
    </row>
    <row r="41" spans="2:12" x14ac:dyDescent="0.3">
      <c r="B41" s="36" t="s">
        <v>112</v>
      </c>
      <c r="C41" s="36"/>
      <c r="D41" s="39">
        <v>0</v>
      </c>
      <c r="E41" s="39">
        <f>COUNTBLANK(J20:J33)</f>
        <v>0</v>
      </c>
      <c r="F41" s="38" t="str">
        <f>IF(E41=D41,"OK","REVIEW")</f>
        <v>OK</v>
      </c>
      <c r="G41" s="11"/>
      <c r="H41" s="11"/>
      <c r="I41" s="11"/>
      <c r="J41" s="11"/>
      <c r="K41" s="11"/>
      <c r="L41" s="11"/>
    </row>
    <row r="42" spans="2:12" x14ac:dyDescent="0.3">
      <c r="B42" s="36" t="s">
        <v>150</v>
      </c>
      <c r="C42" s="36"/>
      <c r="D42" s="39">
        <v>0</v>
      </c>
      <c r="E42" s="39">
        <f>COUNTBLANK(D20:D33)</f>
        <v>0</v>
      </c>
      <c r="F42" s="38" t="str">
        <f>IF(E42=D42,"OK","REVIEW")</f>
        <v>OK</v>
      </c>
      <c r="G42" s="11"/>
      <c r="H42" s="11"/>
      <c r="I42" s="11"/>
      <c r="J42" s="11"/>
      <c r="K42" s="11"/>
      <c r="L42" s="11"/>
    </row>
    <row r="43" spans="2:12" x14ac:dyDescent="0.3">
      <c r="B43" s="36" t="s">
        <v>113</v>
      </c>
      <c r="C43" s="36"/>
      <c r="D43" s="39" t="s">
        <v>114</v>
      </c>
      <c r="E43" s="39" t="str">
        <f ca="1">IF(TODAY()-D13&lt;=90,"Current","Re-verify")</f>
        <v>Current</v>
      </c>
      <c r="F43" s="38" t="str">
        <f ca="1">IF(E43=D43,"OK","REVIEW")</f>
        <v>OK</v>
      </c>
      <c r="G43" s="11"/>
      <c r="H43" s="11"/>
      <c r="I43" s="11"/>
      <c r="J43" s="11"/>
      <c r="K43" s="11"/>
      <c r="L43" s="11"/>
    </row>
    <row r="44" spans="2:12" ht="22.05" customHeight="1" x14ac:dyDescent="0.3">
      <c r="B44" s="36" t="s">
        <v>165</v>
      </c>
      <c r="C44" s="36"/>
      <c r="D44" s="39" t="s">
        <v>110</v>
      </c>
      <c r="E44" s="39" t="str">
        <f>IF(AND(D12=YEAR(D10),D12=YEAR(D11)),"Yes","No")</f>
        <v>Yes</v>
      </c>
      <c r="F44" s="38" t="str">
        <f>IF(E44=D44,"OK","REVIEW")</f>
        <v>OK</v>
      </c>
      <c r="G44" s="11"/>
      <c r="H44" s="11"/>
      <c r="I44" s="11"/>
      <c r="J44" s="11"/>
      <c r="K44" s="11"/>
      <c r="L44" s="11"/>
    </row>
    <row r="45" spans="2:12" ht="15.6" x14ac:dyDescent="0.3">
      <c r="B45" s="12" t="s">
        <v>115</v>
      </c>
      <c r="C45" s="12"/>
      <c r="D45" s="12"/>
      <c r="E45" s="12"/>
      <c r="F45" s="12"/>
      <c r="G45" s="12"/>
      <c r="H45" s="12"/>
      <c r="I45" s="12"/>
      <c r="J45" s="12"/>
      <c r="K45" s="12"/>
      <c r="L45" s="12"/>
    </row>
    <row r="46" spans="2:12" ht="46.05" customHeight="1" x14ac:dyDescent="0.3">
      <c r="B46" s="40" t="s">
        <v>116</v>
      </c>
      <c r="C46" s="40"/>
      <c r="D46" s="40"/>
      <c r="E46" s="40"/>
      <c r="F46" s="40"/>
      <c r="G46" s="40"/>
      <c r="H46" s="40"/>
      <c r="I46" s="40"/>
      <c r="J46" s="40"/>
      <c r="K46" s="40"/>
      <c r="L46" s="40"/>
    </row>
    <row r="47" spans="2:12" x14ac:dyDescent="0.3">
      <c r="B47" s="41" t="s">
        <v>117</v>
      </c>
      <c r="C47" s="42"/>
      <c r="D47" s="42"/>
      <c r="E47" s="42"/>
      <c r="F47" s="42"/>
      <c r="G47" s="42"/>
      <c r="H47" s="42"/>
      <c r="I47" s="42"/>
      <c r="J47" s="42"/>
      <c r="K47" s="42"/>
      <c r="L47" s="42"/>
    </row>
    <row r="48" spans="2:12" ht="46.05" customHeight="1" x14ac:dyDescent="0.3">
      <c r="B48" s="40" t="s">
        <v>118</v>
      </c>
      <c r="C48" s="40"/>
      <c r="D48" s="40"/>
      <c r="E48" s="40"/>
      <c r="F48" s="40"/>
      <c r="G48" s="40"/>
      <c r="H48" s="40"/>
      <c r="I48" s="40"/>
      <c r="J48" s="40"/>
      <c r="K48" s="40"/>
      <c r="L48" s="40"/>
    </row>
    <row r="49" spans="2:12" x14ac:dyDescent="0.3">
      <c r="B49" s="41" t="s">
        <v>119</v>
      </c>
      <c r="C49" s="42"/>
      <c r="D49" s="42"/>
      <c r="E49" s="42"/>
      <c r="F49" s="42"/>
      <c r="G49" s="42"/>
      <c r="H49" s="42"/>
      <c r="I49" s="42"/>
      <c r="J49" s="42"/>
      <c r="K49" s="42"/>
      <c r="L49" s="42"/>
    </row>
    <row r="50" spans="2:12" ht="46.05" customHeight="1" x14ac:dyDescent="0.3">
      <c r="B50" s="40" t="s">
        <v>120</v>
      </c>
      <c r="C50" s="40"/>
      <c r="D50" s="40"/>
      <c r="E50" s="40"/>
      <c r="F50" s="40"/>
      <c r="G50" s="40"/>
      <c r="H50" s="40"/>
      <c r="I50" s="40"/>
      <c r="J50" s="40"/>
      <c r="K50" s="40"/>
      <c r="L50" s="40"/>
    </row>
    <row r="51" spans="2:12" x14ac:dyDescent="0.3">
      <c r="B51" s="41" t="s">
        <v>121</v>
      </c>
      <c r="C51" s="42"/>
      <c r="D51" s="42"/>
      <c r="E51" s="42"/>
      <c r="F51" s="42"/>
      <c r="G51" s="42"/>
      <c r="H51" s="42"/>
      <c r="I51" s="42"/>
      <c r="J51" s="42"/>
      <c r="K51" s="42"/>
      <c r="L51" s="42"/>
    </row>
    <row r="52" spans="2:12" ht="46.05" customHeight="1" x14ac:dyDescent="0.3">
      <c r="B52" s="40" t="s">
        <v>122</v>
      </c>
      <c r="C52" s="40"/>
      <c r="D52" s="40"/>
      <c r="E52" s="40"/>
      <c r="F52" s="40"/>
      <c r="G52" s="40"/>
      <c r="H52" s="40"/>
      <c r="I52" s="40"/>
      <c r="J52" s="40"/>
      <c r="K52" s="40"/>
      <c r="L52" s="40"/>
    </row>
    <row r="53" spans="2:12" x14ac:dyDescent="0.3">
      <c r="B53" s="41" t="s">
        <v>123</v>
      </c>
      <c r="C53" s="42"/>
      <c r="D53" s="42"/>
      <c r="E53" s="42"/>
      <c r="F53" s="42"/>
      <c r="G53" s="42"/>
      <c r="H53" s="42"/>
      <c r="I53" s="42"/>
      <c r="J53" s="42"/>
      <c r="K53" s="42"/>
      <c r="L53" s="42"/>
    </row>
    <row r="54" spans="2:12" ht="46.05" customHeight="1" x14ac:dyDescent="0.3">
      <c r="B54" s="40" t="s">
        <v>124</v>
      </c>
      <c r="C54" s="40"/>
      <c r="D54" s="40"/>
      <c r="E54" s="40"/>
      <c r="F54" s="40"/>
      <c r="G54" s="40"/>
      <c r="H54" s="40"/>
      <c r="I54" s="40"/>
      <c r="J54" s="40"/>
      <c r="K54" s="40"/>
      <c r="L54" s="40"/>
    </row>
    <row r="55" spans="2:12" x14ac:dyDescent="0.3">
      <c r="B55" s="41" t="s">
        <v>125</v>
      </c>
      <c r="C55" s="42"/>
      <c r="D55" s="42"/>
      <c r="E55" s="42"/>
      <c r="F55" s="42"/>
      <c r="G55" s="42"/>
      <c r="H55" s="42"/>
      <c r="I55" s="42"/>
      <c r="J55" s="42"/>
      <c r="K55" s="42"/>
      <c r="L55" s="42"/>
    </row>
    <row r="56" spans="2:12" ht="46.05" customHeight="1" x14ac:dyDescent="0.3">
      <c r="B56" s="40" t="s">
        <v>126</v>
      </c>
      <c r="C56" s="40"/>
      <c r="D56" s="40"/>
      <c r="E56" s="40"/>
      <c r="F56" s="40"/>
      <c r="G56" s="40"/>
      <c r="H56" s="40"/>
      <c r="I56" s="40"/>
      <c r="J56" s="40"/>
      <c r="K56" s="40"/>
      <c r="L56" s="40"/>
    </row>
    <row r="57" spans="2:12" x14ac:dyDescent="0.3">
      <c r="B57" s="41" t="s">
        <v>127</v>
      </c>
      <c r="C57" s="42"/>
      <c r="D57" s="42"/>
      <c r="E57" s="42"/>
      <c r="F57" s="42"/>
      <c r="G57" s="42"/>
      <c r="H57" s="42"/>
      <c r="I57" s="42"/>
      <c r="J57" s="42"/>
      <c r="K57" s="42"/>
      <c r="L57" s="42"/>
    </row>
    <row r="58" spans="2:12" x14ac:dyDescent="0.3">
      <c r="B58" s="11"/>
      <c r="C58" s="11"/>
      <c r="D58" s="11"/>
      <c r="E58" s="11"/>
      <c r="F58" s="11"/>
      <c r="G58" s="11"/>
      <c r="H58" s="11"/>
      <c r="I58" s="11"/>
      <c r="J58" s="11"/>
      <c r="K58" s="11"/>
      <c r="L58" s="11"/>
    </row>
    <row r="59" spans="2:12" ht="19.95" customHeight="1" x14ac:dyDescent="0.3">
      <c r="B59" s="40" t="s">
        <v>128</v>
      </c>
      <c r="C59" s="40"/>
      <c r="D59" s="40"/>
      <c r="E59" s="40"/>
      <c r="F59" s="40"/>
      <c r="G59" s="40"/>
      <c r="H59" s="40"/>
      <c r="I59" s="40"/>
      <c r="J59" s="40"/>
      <c r="K59" s="40"/>
      <c r="L59" s="40"/>
    </row>
    <row r="60" spans="2:12" ht="19.95" customHeight="1" x14ac:dyDescent="0.3">
      <c r="B60" s="43" t="s">
        <v>129</v>
      </c>
      <c r="C60" s="44"/>
      <c r="D60" s="45" t="s">
        <v>130</v>
      </c>
      <c r="E60" s="45"/>
      <c r="F60" s="45"/>
      <c r="G60" s="45"/>
      <c r="H60" s="45"/>
      <c r="I60" s="45"/>
      <c r="J60" s="45"/>
      <c r="K60" s="45"/>
      <c r="L60" s="45"/>
    </row>
    <row r="61" spans="2:12" ht="19.95" customHeight="1" x14ac:dyDescent="0.3">
      <c r="B61" s="46" t="s">
        <v>131</v>
      </c>
      <c r="C61" s="47"/>
      <c r="D61" s="45" t="s">
        <v>132</v>
      </c>
      <c r="E61" s="45"/>
      <c r="F61" s="45"/>
      <c r="G61" s="45"/>
      <c r="H61" s="45"/>
      <c r="I61" s="45"/>
      <c r="J61" s="45"/>
      <c r="K61" s="45"/>
      <c r="L61" s="45"/>
    </row>
    <row r="62" spans="2:12" ht="19.95" customHeight="1" x14ac:dyDescent="0.3">
      <c r="B62" s="48" t="s">
        <v>133</v>
      </c>
      <c r="C62" s="49"/>
      <c r="D62" s="45" t="s">
        <v>134</v>
      </c>
      <c r="E62" s="45"/>
      <c r="F62" s="45"/>
      <c r="G62" s="45"/>
      <c r="H62" s="45"/>
      <c r="I62" s="45"/>
      <c r="J62" s="45"/>
      <c r="K62" s="45"/>
      <c r="L62" s="45"/>
    </row>
    <row r="63" spans="2:12" x14ac:dyDescent="0.3">
      <c r="B63" s="50" t="s">
        <v>135</v>
      </c>
      <c r="C63" s="51"/>
      <c r="D63" s="45" t="s">
        <v>136</v>
      </c>
      <c r="E63" s="45"/>
      <c r="F63" s="45"/>
      <c r="G63" s="45"/>
      <c r="H63" s="45"/>
      <c r="I63" s="45"/>
      <c r="J63" s="45"/>
      <c r="K63" s="45"/>
      <c r="L63" s="45"/>
    </row>
    <row r="64" spans="2:12" ht="58.05" customHeight="1" x14ac:dyDescent="0.3">
      <c r="B64" s="11"/>
      <c r="C64" s="11"/>
      <c r="D64" s="11"/>
      <c r="E64" s="11"/>
      <c r="F64" s="11"/>
      <c r="G64" s="11"/>
      <c r="H64" s="11"/>
      <c r="I64" s="11"/>
      <c r="J64" s="11"/>
      <c r="K64" s="11"/>
      <c r="L64" s="11"/>
    </row>
    <row r="65" spans="2:12" x14ac:dyDescent="0.3">
      <c r="B65" s="52" t="s">
        <v>137</v>
      </c>
      <c r="C65" s="53"/>
      <c r="D65" s="53"/>
      <c r="E65" s="53"/>
      <c r="F65" s="53"/>
      <c r="G65" s="53"/>
      <c r="H65" s="53"/>
      <c r="I65" s="53"/>
      <c r="J65" s="53"/>
      <c r="K65" s="53"/>
      <c r="L65" s="53"/>
    </row>
    <row r="66" spans="2:12" x14ac:dyDescent="0.3">
      <c r="B66" s="11"/>
      <c r="C66" s="11"/>
      <c r="D66" s="11"/>
      <c r="E66" s="11"/>
      <c r="F66" s="11"/>
      <c r="G66" s="11"/>
      <c r="H66" s="11"/>
      <c r="I66" s="11"/>
      <c r="J66" s="11"/>
      <c r="K66" s="11"/>
      <c r="L66" s="11"/>
    </row>
    <row r="67" spans="2:12" x14ac:dyDescent="0.3">
      <c r="B67" s="11"/>
      <c r="C67" s="11"/>
      <c r="D67" s="11"/>
      <c r="E67" s="11"/>
      <c r="F67" s="11"/>
      <c r="G67" s="11"/>
      <c r="H67" s="11"/>
      <c r="I67" s="11"/>
      <c r="J67" s="11"/>
      <c r="K67" s="11"/>
      <c r="L67" s="11"/>
    </row>
    <row r="68" spans="2:12" x14ac:dyDescent="0.3">
      <c r="B68" s="11"/>
      <c r="C68" s="11"/>
      <c r="D68" s="11"/>
      <c r="E68" s="11"/>
      <c r="F68" s="11"/>
      <c r="G68" s="11"/>
      <c r="H68" s="11"/>
      <c r="I68" s="11"/>
      <c r="J68" s="11"/>
      <c r="K68" s="11"/>
      <c r="L68" s="11"/>
    </row>
    <row r="69" spans="2:12" x14ac:dyDescent="0.3">
      <c r="B69" s="11"/>
      <c r="C69" s="11"/>
      <c r="D69" s="11"/>
      <c r="E69" s="11"/>
      <c r="F69" s="11"/>
      <c r="G69" s="11"/>
      <c r="H69" s="11"/>
      <c r="I69" s="11"/>
      <c r="J69" s="11"/>
      <c r="K69" s="11"/>
      <c r="L69" s="11"/>
    </row>
    <row r="70" spans="2:12" x14ac:dyDescent="0.3">
      <c r="B70" s="11"/>
      <c r="C70" s="11"/>
      <c r="D70" s="11"/>
      <c r="E70" s="11"/>
      <c r="F70" s="11"/>
      <c r="G70" s="11"/>
      <c r="H70" s="11"/>
      <c r="I70" s="11"/>
      <c r="J70" s="11"/>
      <c r="K70" s="11"/>
      <c r="L70" s="11"/>
    </row>
    <row r="71" spans="2:12" x14ac:dyDescent="0.3">
      <c r="B71" s="11"/>
      <c r="C71" s="11"/>
      <c r="D71" s="11"/>
      <c r="E71" s="11"/>
      <c r="F71" s="11"/>
      <c r="G71" s="11"/>
      <c r="H71" s="11"/>
      <c r="I71" s="11"/>
      <c r="J71" s="11"/>
      <c r="K71" s="11"/>
      <c r="L71" s="11"/>
    </row>
    <row r="72" spans="2:12" x14ac:dyDescent="0.3">
      <c r="B72" s="11"/>
      <c r="C72" s="11"/>
      <c r="D72" s="11"/>
      <c r="E72" s="11"/>
      <c r="F72" s="11"/>
      <c r="G72" s="11"/>
      <c r="H72" s="11"/>
      <c r="I72" s="11"/>
      <c r="J72" s="11"/>
      <c r="K72" s="11"/>
      <c r="L72" s="11"/>
    </row>
    <row r="73" spans="2:12" x14ac:dyDescent="0.3">
      <c r="B73" s="11"/>
      <c r="C73" s="11"/>
      <c r="D73" s="11"/>
      <c r="E73" s="11"/>
      <c r="F73" s="11"/>
      <c r="G73" s="11"/>
      <c r="H73" s="11"/>
      <c r="I73" s="11"/>
      <c r="J73" s="11"/>
      <c r="K73" s="11"/>
      <c r="L73" s="11"/>
    </row>
    <row r="74" spans="2:12" x14ac:dyDescent="0.3">
      <c r="B74" s="11"/>
      <c r="C74" s="11"/>
      <c r="D74" s="11"/>
      <c r="E74" s="11"/>
      <c r="F74" s="11"/>
      <c r="G74" s="11"/>
      <c r="H74" s="11"/>
      <c r="I74" s="11"/>
      <c r="J74" s="11"/>
      <c r="K74" s="11"/>
      <c r="L74" s="11"/>
    </row>
    <row r="75" spans="2:12" x14ac:dyDescent="0.3">
      <c r="B75" s="11"/>
      <c r="C75" s="11"/>
      <c r="D75" s="11"/>
      <c r="E75" s="11"/>
      <c r="F75" s="11"/>
      <c r="G75" s="11"/>
      <c r="H75" s="11"/>
      <c r="I75" s="11"/>
      <c r="J75" s="11"/>
      <c r="K75" s="11"/>
      <c r="L75" s="11"/>
    </row>
    <row r="76" spans="2:12" x14ac:dyDescent="0.3">
      <c r="B76" s="11"/>
      <c r="C76" s="11"/>
      <c r="D76" s="11"/>
      <c r="E76" s="11"/>
      <c r="F76" s="11"/>
      <c r="G76" s="11"/>
      <c r="H76" s="11"/>
      <c r="I76" s="11"/>
      <c r="J76" s="11"/>
      <c r="K76" s="11"/>
      <c r="L76" s="11"/>
    </row>
    <row r="77" spans="2:12" x14ac:dyDescent="0.3">
      <c r="B77" s="11"/>
      <c r="C77" s="11"/>
      <c r="D77" s="11"/>
      <c r="E77" s="11"/>
      <c r="F77" s="11"/>
      <c r="G77" s="11"/>
      <c r="H77" s="11"/>
      <c r="I77" s="11"/>
      <c r="J77" s="11"/>
      <c r="K77" s="11"/>
      <c r="L77" s="11"/>
    </row>
    <row r="78" spans="2:12" x14ac:dyDescent="0.3">
      <c r="B78" s="11"/>
      <c r="C78" s="11"/>
      <c r="D78" s="11"/>
      <c r="E78" s="11"/>
      <c r="F78" s="11"/>
      <c r="G78" s="11"/>
      <c r="H78" s="11"/>
      <c r="I78" s="11"/>
      <c r="J78" s="11"/>
      <c r="K78" s="11"/>
      <c r="L78" s="11"/>
    </row>
    <row r="79" spans="2:12" x14ac:dyDescent="0.3">
      <c r="B79" s="11"/>
      <c r="C79" s="11"/>
      <c r="D79" s="11"/>
      <c r="E79" s="11"/>
      <c r="F79" s="11"/>
      <c r="G79" s="11"/>
      <c r="H79" s="11"/>
      <c r="I79" s="11"/>
      <c r="J79" s="11"/>
      <c r="K79" s="11"/>
      <c r="L79" s="11"/>
    </row>
    <row r="80" spans="2:12" x14ac:dyDescent="0.3">
      <c r="B80" s="11"/>
      <c r="C80" s="11"/>
      <c r="D80" s="11"/>
      <c r="E80" s="11"/>
      <c r="F80" s="11"/>
      <c r="G80" s="11"/>
      <c r="H80" s="11"/>
      <c r="I80" s="11"/>
      <c r="J80" s="11"/>
      <c r="K80" s="11"/>
      <c r="L80" s="11"/>
    </row>
  </sheetData>
  <sheetProtection sheet="1" objects="1" scenarios="1" sort="0" autoFilter="0"/>
  <mergeCells count="68">
    <mergeCell ref="B62:C62"/>
    <mergeCell ref="D62:L62"/>
    <mergeCell ref="B63:C63"/>
    <mergeCell ref="D63:L63"/>
    <mergeCell ref="B65:L65"/>
    <mergeCell ref="B44:C44"/>
    <mergeCell ref="B56:L56"/>
    <mergeCell ref="B59:L59"/>
    <mergeCell ref="B60:C60"/>
    <mergeCell ref="D60:L60"/>
    <mergeCell ref="B61:C61"/>
    <mergeCell ref="D61:L61"/>
    <mergeCell ref="B49:L49"/>
    <mergeCell ref="B51:L51"/>
    <mergeCell ref="B53:L53"/>
    <mergeCell ref="B55:L55"/>
    <mergeCell ref="B57:L57"/>
    <mergeCell ref="B46:L46"/>
    <mergeCell ref="B48:L48"/>
    <mergeCell ref="B50:L50"/>
    <mergeCell ref="B52:L52"/>
    <mergeCell ref="B54:L54"/>
    <mergeCell ref="B39:C39"/>
    <mergeCell ref="B40:C40"/>
    <mergeCell ref="B41:C41"/>
    <mergeCell ref="B42:C42"/>
    <mergeCell ref="B43:C43"/>
    <mergeCell ref="B47:L47"/>
    <mergeCell ref="B16:C16"/>
    <mergeCell ref="D16:G16"/>
    <mergeCell ref="H16:L16"/>
    <mergeCell ref="B36:C36"/>
    <mergeCell ref="B37:C37"/>
    <mergeCell ref="B38:C38"/>
    <mergeCell ref="B14:C14"/>
    <mergeCell ref="D14:G14"/>
    <mergeCell ref="H14:L14"/>
    <mergeCell ref="B15:C15"/>
    <mergeCell ref="D15:G15"/>
    <mergeCell ref="H15:L15"/>
    <mergeCell ref="D10:G10"/>
    <mergeCell ref="H10:L10"/>
    <mergeCell ref="B11:C11"/>
    <mergeCell ref="D11:G11"/>
    <mergeCell ref="H11:L11"/>
    <mergeCell ref="B13:C13"/>
    <mergeCell ref="D13:G13"/>
    <mergeCell ref="H13:L13"/>
    <mergeCell ref="B45:L45"/>
    <mergeCell ref="B6:C6"/>
    <mergeCell ref="D6:G6"/>
    <mergeCell ref="H6:L6"/>
    <mergeCell ref="B7:C7"/>
    <mergeCell ref="D7:G7"/>
    <mergeCell ref="H7:L7"/>
    <mergeCell ref="B8:C8"/>
    <mergeCell ref="D8:G8"/>
    <mergeCell ref="H8:L8"/>
    <mergeCell ref="B1:L1"/>
    <mergeCell ref="B2:L2"/>
    <mergeCell ref="B3:L3"/>
    <mergeCell ref="B5:L5"/>
    <mergeCell ref="B18:L18"/>
    <mergeCell ref="B35:L35"/>
    <mergeCell ref="B9:C9"/>
    <mergeCell ref="D9:G9"/>
    <mergeCell ref="H9:L9"/>
    <mergeCell ref="B10:C10"/>
  </mergeCells>
  <conditionalFormatting sqref="F37:F44">
    <cfRule type="expression" dxfId="38" priority="1">
      <formula>$F37="REVIEW"</formula>
    </cfRule>
  </conditionalFormatting>
  <conditionalFormatting sqref="F37:F44">
    <cfRule type="expression" dxfId="37" priority="2">
      <formula>$F37="OK"</formula>
    </cfRule>
  </conditionalFormatting>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380C6-629D-476C-B01D-78DD38766120}">
  <sheetPr>
    <tabColor rgb="FF2E5496"/>
  </sheetPr>
  <dimension ref="A1:N40"/>
  <sheetViews>
    <sheetView showGridLines="0" workbookViewId="0">
      <pane ySplit="7" topLeftCell="A8" activePane="bottomLeft" state="frozen"/>
      <selection pane="bottomLeft"/>
    </sheetView>
  </sheetViews>
  <sheetFormatPr defaultRowHeight="14.4" x14ac:dyDescent="0.3"/>
  <cols>
    <col min="1" max="1" width="2.5546875" customWidth="1"/>
    <col min="2" max="2" width="20.33203125" customWidth="1"/>
    <col min="3" max="3" width="42.5546875" customWidth="1"/>
    <col min="4" max="4" width="20.33203125" customWidth="1"/>
    <col min="5" max="5" width="16.6640625" customWidth="1"/>
    <col min="6" max="6" width="18.5546875" customWidth="1"/>
    <col min="7" max="7" width="20.33203125" customWidth="1"/>
    <col min="8" max="8" width="66.6640625" customWidth="1"/>
    <col min="9" max="9" width="74.109375" customWidth="1"/>
    <col min="10" max="11" width="55.5546875" customWidth="1"/>
    <col min="12" max="12" width="27.77734375" customWidth="1"/>
    <col min="13" max="13" width="13" customWidth="1"/>
    <col min="14" max="14" width="20.33203125" customWidth="1"/>
  </cols>
  <sheetData>
    <row r="1" spans="1:14" ht="30" customHeight="1" x14ac:dyDescent="0.3">
      <c r="A1" s="11"/>
      <c r="B1" s="85" t="s">
        <v>0</v>
      </c>
      <c r="C1" s="85"/>
      <c r="D1" s="85"/>
      <c r="E1" s="85"/>
      <c r="F1" s="85"/>
      <c r="G1" s="85"/>
      <c r="H1" s="85"/>
      <c r="I1" s="85"/>
      <c r="J1" s="85"/>
      <c r="K1" s="85"/>
      <c r="L1" s="11"/>
      <c r="M1" s="11"/>
      <c r="N1" s="11"/>
    </row>
    <row r="2" spans="1:14" x14ac:dyDescent="0.3">
      <c r="A2" s="11"/>
      <c r="B2" s="86" t="s">
        <v>166</v>
      </c>
      <c r="C2" s="86"/>
      <c r="D2" s="86"/>
      <c r="E2" s="86"/>
      <c r="F2" s="86"/>
      <c r="G2" s="86"/>
      <c r="H2" s="86"/>
      <c r="I2" s="86"/>
      <c r="J2" s="86"/>
      <c r="K2" s="86"/>
      <c r="L2" s="11"/>
      <c r="M2" s="11"/>
      <c r="N2" s="11"/>
    </row>
    <row r="3" spans="1:14" x14ac:dyDescent="0.3">
      <c r="A3" s="11"/>
      <c r="B3" s="87" t="s">
        <v>167</v>
      </c>
      <c r="C3" s="87"/>
      <c r="D3" s="87"/>
      <c r="E3" s="87"/>
      <c r="F3" s="87"/>
      <c r="G3" s="87"/>
      <c r="H3" s="87"/>
      <c r="I3" s="87"/>
      <c r="J3" s="87"/>
      <c r="K3" s="87"/>
      <c r="L3" s="11"/>
      <c r="M3" s="11"/>
      <c r="N3" s="11"/>
    </row>
    <row r="4" spans="1:14" x14ac:dyDescent="0.3">
      <c r="A4" s="11"/>
      <c r="B4" s="88"/>
      <c r="C4" s="88"/>
      <c r="D4" s="88"/>
      <c r="E4" s="88"/>
      <c r="F4" s="88"/>
      <c r="G4" s="88"/>
      <c r="H4" s="88"/>
      <c r="I4" s="88"/>
      <c r="J4" s="88"/>
      <c r="K4" s="88"/>
      <c r="L4" s="11"/>
      <c r="M4" s="11"/>
      <c r="N4" s="11"/>
    </row>
    <row r="5" spans="1:14" ht="15.6" x14ac:dyDescent="0.3">
      <c r="A5" s="11"/>
      <c r="B5" s="89" t="s">
        <v>168</v>
      </c>
      <c r="C5" s="89"/>
      <c r="D5" s="89"/>
      <c r="E5" s="89"/>
      <c r="F5" s="89"/>
      <c r="G5" s="89"/>
      <c r="H5" s="89"/>
      <c r="I5" s="89"/>
      <c r="J5" s="89"/>
      <c r="K5" s="89"/>
      <c r="L5" s="11"/>
      <c r="M5" s="11"/>
      <c r="N5" s="11"/>
    </row>
    <row r="6" spans="1:14" x14ac:dyDescent="0.3">
      <c r="A6" s="11"/>
      <c r="B6" s="11"/>
      <c r="C6" s="11"/>
      <c r="D6" s="11"/>
      <c r="E6" s="11"/>
      <c r="F6" s="11"/>
      <c r="G6" s="11"/>
      <c r="H6" s="11"/>
      <c r="I6" s="11"/>
      <c r="J6" s="11"/>
      <c r="K6" s="11"/>
      <c r="L6" s="11"/>
      <c r="M6" s="11"/>
      <c r="N6" s="11"/>
    </row>
    <row r="7" spans="1:14" x14ac:dyDescent="0.3">
      <c r="A7" s="11"/>
      <c r="B7" s="91" t="s">
        <v>169</v>
      </c>
      <c r="C7" s="91" t="s">
        <v>170</v>
      </c>
      <c r="D7" s="91" t="s">
        <v>171</v>
      </c>
      <c r="E7" s="91" t="s">
        <v>172</v>
      </c>
      <c r="F7" s="91" t="s">
        <v>173</v>
      </c>
      <c r="G7" s="91" t="s">
        <v>174</v>
      </c>
      <c r="H7" s="91" t="s">
        <v>175</v>
      </c>
      <c r="I7" s="91" t="s">
        <v>176</v>
      </c>
      <c r="J7" s="91" t="s">
        <v>177</v>
      </c>
      <c r="K7" s="91" t="s">
        <v>178</v>
      </c>
      <c r="L7" s="98" t="s">
        <v>796</v>
      </c>
      <c r="M7" s="98" t="s">
        <v>797</v>
      </c>
      <c r="N7" s="98" t="s">
        <v>832</v>
      </c>
    </row>
    <row r="8" spans="1:14" ht="28.8" x14ac:dyDescent="0.3">
      <c r="A8" s="11"/>
      <c r="B8" s="100" t="s">
        <v>179</v>
      </c>
      <c r="C8" s="101" t="s">
        <v>180</v>
      </c>
      <c r="D8" s="58" t="s">
        <v>181</v>
      </c>
      <c r="E8" s="58" t="s">
        <v>182</v>
      </c>
      <c r="F8" s="58" t="s">
        <v>110</v>
      </c>
      <c r="G8" s="58" t="s">
        <v>183</v>
      </c>
      <c r="H8" s="102" t="s">
        <v>184</v>
      </c>
      <c r="I8" s="102" t="s">
        <v>185</v>
      </c>
      <c r="J8" s="102" t="s">
        <v>78</v>
      </c>
      <c r="K8" s="102" t="s">
        <v>186</v>
      </c>
      <c r="L8" s="68" t="s">
        <v>63</v>
      </c>
      <c r="M8" s="103" cm="1">
        <f t="array" ref="M8">_xlfn.SWITCH(tbl_Categories[[#This Row],[Code]],"OUT_STD",Combined_VAT_Rate,"IN_STD",Combined_VAT_Rate,"IN_NONDED",Combined_VAT_Rate,"WHT_SVC",WHT_Services,"VAT_WHT",VAT_WHT_Rate,"WHT_GOODS",WHT_Goods,"WHT_WORKS",WHT_Works,0)</f>
        <v>0.19999999999999998</v>
      </c>
      <c r="N8" s="68" t="s">
        <v>110</v>
      </c>
    </row>
    <row r="9" spans="1:14" ht="28.8" x14ac:dyDescent="0.3">
      <c r="A9" s="11"/>
      <c r="B9" s="100" t="s">
        <v>187</v>
      </c>
      <c r="C9" s="101" t="s">
        <v>188</v>
      </c>
      <c r="D9" s="58" t="s">
        <v>181</v>
      </c>
      <c r="E9" s="58" t="s">
        <v>182</v>
      </c>
      <c r="F9" s="58" t="s">
        <v>110</v>
      </c>
      <c r="G9" s="58" t="s">
        <v>183</v>
      </c>
      <c r="H9" s="102" t="s">
        <v>189</v>
      </c>
      <c r="I9" s="102" t="s">
        <v>190</v>
      </c>
      <c r="J9" s="102" t="s">
        <v>191</v>
      </c>
      <c r="K9" s="102" t="s">
        <v>192</v>
      </c>
      <c r="L9" s="68" t="s">
        <v>91</v>
      </c>
      <c r="M9" s="103" cm="1">
        <f t="array" ref="M9">_xlfn.SWITCH(tbl_Categories[[#This Row],[Code]],"OUT_STD",Combined_VAT_Rate,"IN_STD",Combined_VAT_Rate,"IN_NONDED",Combined_VAT_Rate,"WHT_SVC",WHT_Services,"VAT_WHT",VAT_WHT_Rate,"WHT_GOODS",WHT_Goods,"WHT_WORKS",WHT_Works,0)</f>
        <v>7.4999999999999997E-2</v>
      </c>
      <c r="N9" s="68" t="s">
        <v>26</v>
      </c>
    </row>
    <row r="10" spans="1:14" ht="43.2" x14ac:dyDescent="0.3">
      <c r="A10" s="11"/>
      <c r="B10" s="100" t="s">
        <v>193</v>
      </c>
      <c r="C10" s="101" t="s">
        <v>194</v>
      </c>
      <c r="D10" s="58" t="s">
        <v>181</v>
      </c>
      <c r="E10" s="58" t="s">
        <v>182</v>
      </c>
      <c r="F10" s="58" t="s">
        <v>110</v>
      </c>
      <c r="G10" s="58" t="s">
        <v>183</v>
      </c>
      <c r="H10" s="102" t="s">
        <v>195</v>
      </c>
      <c r="I10" s="102" t="s">
        <v>196</v>
      </c>
      <c r="J10" s="102" t="s">
        <v>197</v>
      </c>
      <c r="K10" s="102" t="s">
        <v>198</v>
      </c>
      <c r="L10" s="68" t="s">
        <v>79</v>
      </c>
      <c r="M10" s="103" cm="1">
        <f t="array" ref="M10">_xlfn.SWITCH(tbl_Categories[[#This Row],[Code]],"OUT_STD",Combined_VAT_Rate,"IN_STD",Combined_VAT_Rate,"IN_NONDED",Combined_VAT_Rate,"WHT_SVC",WHT_Services,"VAT_WHT",VAT_WHT_Rate,"WHT_GOODS",WHT_Goods,"WHT_WORKS",WHT_Works,0)</f>
        <v>7.0000000000000007E-2</v>
      </c>
      <c r="N10" s="68" t="s">
        <v>26</v>
      </c>
    </row>
    <row r="11" spans="1:14" ht="43.2" x14ac:dyDescent="0.3">
      <c r="A11" s="11"/>
      <c r="B11" s="100" t="s">
        <v>199</v>
      </c>
      <c r="C11" s="101" t="s">
        <v>200</v>
      </c>
      <c r="D11" s="58" t="s">
        <v>181</v>
      </c>
      <c r="E11" s="58" t="s">
        <v>201</v>
      </c>
      <c r="F11" s="58" t="s">
        <v>110</v>
      </c>
      <c r="G11" s="58" t="s">
        <v>110</v>
      </c>
      <c r="H11" s="102" t="s">
        <v>202</v>
      </c>
      <c r="I11" s="102" t="s">
        <v>203</v>
      </c>
      <c r="J11" s="102" t="s">
        <v>78</v>
      </c>
      <c r="K11" s="102" t="s">
        <v>204</v>
      </c>
      <c r="L11" s="68" t="s">
        <v>63</v>
      </c>
      <c r="M11" s="103" cm="1">
        <f t="array" ref="M11">_xlfn.SWITCH(tbl_Categories[[#This Row],[Code]],"OUT_STD",Combined_VAT_Rate,"IN_STD",Combined_VAT_Rate,"IN_NONDED",Combined_VAT_Rate,"WHT_SVC",WHT_Services,"VAT_WHT",VAT_WHT_Rate,"WHT_GOODS",WHT_Goods,"WHT_WORKS",WHT_Works,0)</f>
        <v>0.19999999999999998</v>
      </c>
      <c r="N11" s="68" t="s">
        <v>110</v>
      </c>
    </row>
    <row r="12" spans="1:14" ht="28.8" x14ac:dyDescent="0.3">
      <c r="A12" s="11"/>
      <c r="B12" s="100" t="s">
        <v>205</v>
      </c>
      <c r="C12" s="101" t="s">
        <v>206</v>
      </c>
      <c r="D12" s="58" t="s">
        <v>207</v>
      </c>
      <c r="E12" s="58" t="s">
        <v>201</v>
      </c>
      <c r="F12" s="58" t="s">
        <v>26</v>
      </c>
      <c r="G12" s="58" t="s">
        <v>26</v>
      </c>
      <c r="H12" s="102" t="s">
        <v>208</v>
      </c>
      <c r="I12" s="102" t="s">
        <v>209</v>
      </c>
      <c r="J12" s="102" t="s">
        <v>210</v>
      </c>
      <c r="K12" s="102" t="s">
        <v>211</v>
      </c>
      <c r="L12" s="68" t="s">
        <v>798</v>
      </c>
      <c r="M12" s="103" cm="1">
        <f t="array" ref="M12">_xlfn.SWITCH(tbl_Categories[[#This Row],[Code]],"OUT_STD",Combined_VAT_Rate,"IN_STD",Combined_VAT_Rate,"IN_NONDED",Combined_VAT_Rate,"WHT_SVC",WHT_Services,"VAT_WHT",VAT_WHT_Rate,"WHT_GOODS",WHT_Goods,"WHT_WORKS",WHT_Works,0)</f>
        <v>0</v>
      </c>
      <c r="N12" s="68" t="s">
        <v>26</v>
      </c>
    </row>
    <row r="13" spans="1:14" ht="28.8" x14ac:dyDescent="0.3">
      <c r="A13" s="11"/>
      <c r="B13" s="100" t="s">
        <v>212</v>
      </c>
      <c r="C13" s="101" t="s">
        <v>213</v>
      </c>
      <c r="D13" s="58" t="s">
        <v>214</v>
      </c>
      <c r="E13" s="58" t="s">
        <v>201</v>
      </c>
      <c r="F13" s="58" t="s">
        <v>26</v>
      </c>
      <c r="G13" s="58" t="s">
        <v>26</v>
      </c>
      <c r="H13" s="102" t="s">
        <v>215</v>
      </c>
      <c r="I13" s="102" t="s">
        <v>216</v>
      </c>
      <c r="J13" s="102" t="s">
        <v>217</v>
      </c>
      <c r="K13" s="102" t="s">
        <v>218</v>
      </c>
      <c r="L13" s="68" t="s">
        <v>799</v>
      </c>
      <c r="M13" s="103" cm="1">
        <f t="array" ref="M13">_xlfn.SWITCH(tbl_Categories[[#This Row],[Code]],"OUT_STD",Combined_VAT_Rate,"IN_STD",Combined_VAT_Rate,"IN_NONDED",Combined_VAT_Rate,"WHT_SVC",WHT_Services,"VAT_WHT",VAT_WHT_Rate,"WHT_GOODS",WHT_Goods,"WHT_WORKS",WHT_Works,0)</f>
        <v>0</v>
      </c>
      <c r="N13" s="68" t="s">
        <v>26</v>
      </c>
    </row>
    <row r="14" spans="1:14" ht="28.8" x14ac:dyDescent="0.3">
      <c r="A14" s="11"/>
      <c r="B14" s="100" t="s">
        <v>219</v>
      </c>
      <c r="C14" s="101" t="s">
        <v>220</v>
      </c>
      <c r="D14" s="58" t="s">
        <v>221</v>
      </c>
      <c r="E14" s="58" t="s">
        <v>201</v>
      </c>
      <c r="F14" s="58" t="s">
        <v>110</v>
      </c>
      <c r="G14" s="58" t="s">
        <v>26</v>
      </c>
      <c r="H14" s="102" t="s">
        <v>222</v>
      </c>
      <c r="I14" s="102" t="s">
        <v>223</v>
      </c>
      <c r="J14" s="102" t="s">
        <v>224</v>
      </c>
      <c r="K14" s="102" t="s">
        <v>225</v>
      </c>
      <c r="L14" s="68" t="s">
        <v>63</v>
      </c>
      <c r="M14" s="103" cm="1">
        <f t="array" ref="M14">_xlfn.SWITCH(tbl_Categories[[#This Row],[Code]],"OUT_STD",Combined_VAT_Rate,"IN_STD",Combined_VAT_Rate,"IN_NONDED",Combined_VAT_Rate,"WHT_SVC",WHT_Services,"VAT_WHT",VAT_WHT_Rate,"WHT_GOODS",WHT_Goods,"WHT_WORKS",WHT_Works,0)</f>
        <v>0.19999999999999998</v>
      </c>
      <c r="N14" s="68" t="s">
        <v>26</v>
      </c>
    </row>
    <row r="15" spans="1:14" ht="57.6" x14ac:dyDescent="0.3">
      <c r="A15" s="11"/>
      <c r="B15" s="100" t="s">
        <v>226</v>
      </c>
      <c r="C15" s="101" t="s">
        <v>227</v>
      </c>
      <c r="D15" s="58" t="s">
        <v>228</v>
      </c>
      <c r="E15" s="58" t="s">
        <v>182</v>
      </c>
      <c r="F15" s="58" t="s">
        <v>26</v>
      </c>
      <c r="G15" s="58" t="s">
        <v>110</v>
      </c>
      <c r="H15" s="102" t="s">
        <v>232</v>
      </c>
      <c r="I15" s="102" t="s">
        <v>229</v>
      </c>
      <c r="J15" s="102" t="s">
        <v>230</v>
      </c>
      <c r="K15" s="102" t="s">
        <v>231</v>
      </c>
      <c r="L15" s="68" t="s">
        <v>800</v>
      </c>
      <c r="M15" s="103" cm="1">
        <f t="array" ref="M15">_xlfn.SWITCH(tbl_Categories[[#This Row],[Code]],"OUT_STD",Combined_VAT_Rate,"IN_STD",Combined_VAT_Rate,"IN_NONDED",Combined_VAT_Rate,"WHT_SVC",WHT_Services,"VAT_WHT",VAT_WHT_Rate,"WHT_GOODS",WHT_Goods,"WHT_WORKS",WHT_Works,0)</f>
        <v>0</v>
      </c>
      <c r="N15" s="68" t="s">
        <v>26</v>
      </c>
    </row>
    <row r="16" spans="1:14" ht="57.6" x14ac:dyDescent="0.3">
      <c r="A16" s="11"/>
      <c r="B16" s="100" t="s">
        <v>781</v>
      </c>
      <c r="C16" s="101" t="s">
        <v>782</v>
      </c>
      <c r="D16" s="58" t="s">
        <v>783</v>
      </c>
      <c r="E16" s="58" t="s">
        <v>201</v>
      </c>
      <c r="F16" s="58" t="s">
        <v>110</v>
      </c>
      <c r="G16" s="58" t="s">
        <v>110</v>
      </c>
      <c r="H16" s="102" t="s">
        <v>784</v>
      </c>
      <c r="I16" s="102" t="s">
        <v>785</v>
      </c>
      <c r="J16" s="102" t="s">
        <v>88</v>
      </c>
      <c r="K16" s="102" t="s">
        <v>89</v>
      </c>
      <c r="L16" s="68" t="s">
        <v>84</v>
      </c>
      <c r="M16" s="103" cm="1">
        <f t="array" ref="M16">_xlfn.SWITCH(tbl_Categories[[#This Row],[Code]],"OUT_STD",Combined_VAT_Rate,"IN_STD",Combined_VAT_Rate,"IN_NONDED",Combined_VAT_Rate,"WHT_SVC",WHT_Services,"VAT_WHT",VAT_WHT_Rate,"WHT_GOODS",WHT_Goods,"WHT_WORKS",WHT_Works,0)</f>
        <v>0.03</v>
      </c>
      <c r="N16" s="68" t="s">
        <v>26</v>
      </c>
    </row>
    <row r="17" spans="1:14" ht="43.2" x14ac:dyDescent="0.3">
      <c r="A17" s="11"/>
      <c r="B17" s="100" t="s">
        <v>786</v>
      </c>
      <c r="C17" s="101" t="s">
        <v>787</v>
      </c>
      <c r="D17" s="58" t="s">
        <v>783</v>
      </c>
      <c r="E17" s="58" t="s">
        <v>201</v>
      </c>
      <c r="F17" s="58" t="s">
        <v>110</v>
      </c>
      <c r="G17" s="58" t="s">
        <v>110</v>
      </c>
      <c r="H17" s="102" t="s">
        <v>788</v>
      </c>
      <c r="I17" s="102" t="s">
        <v>789</v>
      </c>
      <c r="J17" s="102" t="s">
        <v>88</v>
      </c>
      <c r="K17" s="102" t="s">
        <v>98</v>
      </c>
      <c r="L17" s="68" t="s">
        <v>95</v>
      </c>
      <c r="M17" s="103" cm="1">
        <f t="array" ref="M17">_xlfn.SWITCH(tbl_Categories[[#This Row],[Code]],"OUT_STD",Combined_VAT_Rate,"IN_STD",Combined_VAT_Rate,"IN_NONDED",Combined_VAT_Rate,"WHT_SVC",WHT_Services,"VAT_WHT",VAT_WHT_Rate,"WHT_GOODS",WHT_Goods,"WHT_WORKS",WHT_Works,0)</f>
        <v>0.05</v>
      </c>
      <c r="N17" s="68" t="s">
        <v>26</v>
      </c>
    </row>
    <row r="18" spans="1:14" ht="43.2" x14ac:dyDescent="0.3">
      <c r="A18" s="11"/>
      <c r="B18" s="100" t="s">
        <v>790</v>
      </c>
      <c r="C18" s="101" t="s">
        <v>791</v>
      </c>
      <c r="D18" s="58" t="s">
        <v>792</v>
      </c>
      <c r="E18" s="58" t="s">
        <v>182</v>
      </c>
      <c r="F18" s="58" t="s">
        <v>26</v>
      </c>
      <c r="G18" s="58" t="s">
        <v>26</v>
      </c>
      <c r="H18" s="102" t="s">
        <v>793</v>
      </c>
      <c r="I18" s="102" t="s">
        <v>794</v>
      </c>
      <c r="J18" s="102" t="s">
        <v>73</v>
      </c>
      <c r="K18" s="102" t="s">
        <v>795</v>
      </c>
      <c r="L18" s="68" t="s">
        <v>798</v>
      </c>
      <c r="M18" s="103" cm="1">
        <f t="array" ref="M18">_xlfn.SWITCH(tbl_Categories[[#This Row],[Code]],"OUT_STD",Combined_VAT_Rate,"IN_STD",Combined_VAT_Rate,"IN_NONDED",Combined_VAT_Rate,"WHT_SVC",WHT_Services,"VAT_WHT",VAT_WHT_Rate,"WHT_GOODS",WHT_Goods,"WHT_WORKS",WHT_Works,0)</f>
        <v>0</v>
      </c>
      <c r="N18" s="68" t="s">
        <v>26</v>
      </c>
    </row>
    <row r="19" spans="1:14" x14ac:dyDescent="0.3">
      <c r="A19" s="11"/>
      <c r="B19" s="11"/>
      <c r="C19" s="11"/>
      <c r="D19" s="11"/>
      <c r="E19" s="11"/>
      <c r="F19" s="11"/>
      <c r="G19" s="11"/>
      <c r="H19" s="11"/>
      <c r="I19" s="11"/>
      <c r="J19" s="11"/>
      <c r="K19" s="11"/>
      <c r="L19" s="11"/>
      <c r="M19" s="11"/>
      <c r="N19" s="11"/>
    </row>
    <row r="20" spans="1:14" x14ac:dyDescent="0.3">
      <c r="A20" s="11"/>
      <c r="B20" s="11"/>
      <c r="C20" s="11"/>
      <c r="D20" s="11"/>
      <c r="E20" s="11"/>
      <c r="F20" s="11"/>
      <c r="G20" s="11"/>
      <c r="H20" s="11"/>
      <c r="I20" s="11"/>
      <c r="J20" s="11"/>
      <c r="K20" s="11"/>
      <c r="L20" s="11"/>
      <c r="M20" s="11"/>
      <c r="N20" s="11"/>
    </row>
    <row r="21" spans="1:14" x14ac:dyDescent="0.3">
      <c r="A21" s="11"/>
      <c r="B21" s="11"/>
      <c r="C21" s="11"/>
      <c r="D21" s="11"/>
      <c r="E21" s="11"/>
      <c r="F21" s="11"/>
      <c r="G21" s="11"/>
      <c r="H21" s="11"/>
      <c r="I21" s="11"/>
      <c r="J21" s="11"/>
      <c r="K21" s="11"/>
      <c r="L21" s="11"/>
      <c r="M21" s="11"/>
      <c r="N21" s="11"/>
    </row>
    <row r="22" spans="1:14" x14ac:dyDescent="0.3">
      <c r="A22" s="11"/>
      <c r="B22" s="11"/>
      <c r="C22" s="11"/>
      <c r="D22" s="11"/>
      <c r="E22" s="11"/>
      <c r="F22" s="11"/>
      <c r="G22" s="11"/>
      <c r="H22" s="11"/>
      <c r="I22" s="11"/>
      <c r="J22" s="11"/>
      <c r="K22" s="11"/>
      <c r="L22" s="11"/>
      <c r="M22" s="11"/>
      <c r="N22" s="11"/>
    </row>
    <row r="23" spans="1:14" x14ac:dyDescent="0.3">
      <c r="A23" s="11"/>
      <c r="B23" s="11"/>
      <c r="C23" s="11"/>
      <c r="D23" s="11"/>
      <c r="E23" s="11"/>
      <c r="F23" s="11"/>
      <c r="G23" s="11"/>
      <c r="H23" s="11"/>
      <c r="I23" s="11"/>
      <c r="J23" s="11"/>
      <c r="K23" s="11"/>
      <c r="L23" s="11"/>
      <c r="M23" s="11"/>
      <c r="N23" s="11"/>
    </row>
    <row r="24" spans="1:14" x14ac:dyDescent="0.3">
      <c r="A24" s="11"/>
      <c r="B24" s="11"/>
      <c r="C24" s="11"/>
      <c r="D24" s="11"/>
      <c r="E24" s="11"/>
      <c r="F24" s="11"/>
      <c r="G24" s="11"/>
      <c r="H24" s="11"/>
      <c r="I24" s="11"/>
      <c r="J24" s="11"/>
      <c r="K24" s="11"/>
      <c r="L24" s="11"/>
      <c r="M24" s="11"/>
      <c r="N24" s="11"/>
    </row>
    <row r="25" spans="1:14" x14ac:dyDescent="0.3">
      <c r="A25" s="11"/>
      <c r="B25" s="11"/>
      <c r="C25" s="11"/>
      <c r="D25" s="11"/>
      <c r="E25" s="11"/>
      <c r="F25" s="11"/>
      <c r="G25" s="11"/>
      <c r="H25" s="11"/>
      <c r="I25" s="11"/>
      <c r="J25" s="11"/>
      <c r="K25" s="11"/>
      <c r="L25" s="11"/>
      <c r="M25" s="11"/>
      <c r="N25" s="11"/>
    </row>
    <row r="26" spans="1:14" x14ac:dyDescent="0.3">
      <c r="A26" s="11"/>
      <c r="B26" s="11"/>
      <c r="C26" s="11"/>
      <c r="D26" s="11"/>
      <c r="E26" s="11"/>
      <c r="F26" s="11"/>
      <c r="G26" s="11"/>
      <c r="H26" s="11"/>
      <c r="I26" s="11"/>
      <c r="J26" s="11"/>
      <c r="K26" s="11"/>
      <c r="L26" s="11"/>
      <c r="M26" s="11"/>
      <c r="N26" s="11"/>
    </row>
    <row r="27" spans="1:14" x14ac:dyDescent="0.3">
      <c r="A27" s="11"/>
      <c r="B27" s="11"/>
      <c r="C27" s="11"/>
      <c r="D27" s="11"/>
      <c r="E27" s="11"/>
      <c r="F27" s="11"/>
      <c r="G27" s="11"/>
      <c r="H27" s="11"/>
      <c r="I27" s="11"/>
      <c r="J27" s="11"/>
      <c r="K27" s="11"/>
      <c r="L27" s="11"/>
      <c r="M27" s="11"/>
      <c r="N27" s="11"/>
    </row>
    <row r="28" spans="1:14" x14ac:dyDescent="0.3">
      <c r="A28" s="11"/>
      <c r="B28" s="11"/>
      <c r="C28" s="11"/>
      <c r="D28" s="11"/>
      <c r="E28" s="11"/>
      <c r="F28" s="11"/>
      <c r="G28" s="11"/>
      <c r="H28" s="11"/>
      <c r="I28" s="11"/>
      <c r="J28" s="11"/>
      <c r="K28" s="11"/>
      <c r="L28" s="11"/>
      <c r="M28" s="11"/>
      <c r="N28" s="11"/>
    </row>
    <row r="29" spans="1:14" x14ac:dyDescent="0.3">
      <c r="A29" s="11"/>
      <c r="B29" s="11"/>
      <c r="C29" s="11"/>
      <c r="D29" s="11"/>
      <c r="E29" s="11"/>
      <c r="F29" s="11"/>
      <c r="G29" s="11"/>
      <c r="H29" s="11"/>
      <c r="I29" s="11"/>
      <c r="J29" s="11"/>
      <c r="K29" s="11"/>
      <c r="L29" s="11"/>
      <c r="M29" s="11"/>
      <c r="N29" s="11"/>
    </row>
    <row r="30" spans="1:14" x14ac:dyDescent="0.3">
      <c r="A30" s="11"/>
      <c r="B30" s="11"/>
      <c r="C30" s="11"/>
      <c r="D30" s="11"/>
      <c r="E30" s="11"/>
      <c r="F30" s="11"/>
      <c r="G30" s="11"/>
      <c r="H30" s="11"/>
      <c r="I30" s="11"/>
      <c r="J30" s="11"/>
      <c r="K30" s="11"/>
      <c r="L30" s="11"/>
      <c r="M30" s="11"/>
      <c r="N30" s="11"/>
    </row>
    <row r="31" spans="1:14" x14ac:dyDescent="0.3">
      <c r="A31" s="11"/>
      <c r="B31" s="11"/>
      <c r="C31" s="11"/>
      <c r="D31" s="11"/>
      <c r="E31" s="11"/>
      <c r="F31" s="11"/>
      <c r="G31" s="11"/>
      <c r="H31" s="11"/>
      <c r="I31" s="11"/>
      <c r="J31" s="11"/>
      <c r="K31" s="11"/>
      <c r="L31" s="11"/>
      <c r="M31" s="11"/>
      <c r="N31" s="11"/>
    </row>
    <row r="32" spans="1:14" x14ac:dyDescent="0.3">
      <c r="A32" s="11"/>
      <c r="B32" s="11"/>
      <c r="C32" s="11"/>
      <c r="D32" s="11"/>
      <c r="E32" s="11"/>
      <c r="F32" s="11"/>
      <c r="G32" s="11"/>
      <c r="H32" s="11"/>
      <c r="I32" s="11"/>
      <c r="J32" s="11"/>
      <c r="K32" s="11"/>
      <c r="L32" s="11"/>
      <c r="M32" s="11"/>
      <c r="N32" s="11"/>
    </row>
    <row r="33" spans="1:14" x14ac:dyDescent="0.3">
      <c r="A33" s="11"/>
      <c r="B33" s="11"/>
      <c r="C33" s="11"/>
      <c r="D33" s="11"/>
      <c r="E33" s="11"/>
      <c r="F33" s="11"/>
      <c r="G33" s="11"/>
      <c r="H33" s="11"/>
      <c r="I33" s="11"/>
      <c r="J33" s="11"/>
      <c r="K33" s="11"/>
      <c r="L33" s="11"/>
      <c r="M33" s="11"/>
      <c r="N33" s="11"/>
    </row>
    <row r="34" spans="1:14" x14ac:dyDescent="0.3">
      <c r="A34" s="11"/>
      <c r="B34" s="11"/>
      <c r="C34" s="11"/>
      <c r="D34" s="11"/>
      <c r="E34" s="11"/>
      <c r="F34" s="11"/>
      <c r="G34" s="11"/>
      <c r="H34" s="11"/>
      <c r="I34" s="11"/>
      <c r="J34" s="11"/>
      <c r="K34" s="11"/>
      <c r="L34" s="11"/>
      <c r="M34" s="11"/>
      <c r="N34" s="11"/>
    </row>
    <row r="35" spans="1:14" x14ac:dyDescent="0.3">
      <c r="A35" s="11"/>
      <c r="B35" s="11"/>
      <c r="C35" s="11"/>
      <c r="D35" s="11"/>
      <c r="E35" s="11"/>
      <c r="F35" s="11"/>
      <c r="G35" s="11"/>
      <c r="H35" s="11"/>
      <c r="I35" s="11"/>
      <c r="J35" s="11"/>
      <c r="K35" s="11"/>
      <c r="L35" s="11"/>
      <c r="M35" s="11"/>
      <c r="N35" s="11"/>
    </row>
    <row r="36" spans="1:14" x14ac:dyDescent="0.3">
      <c r="A36" s="11"/>
      <c r="B36" s="11"/>
      <c r="C36" s="11"/>
      <c r="D36" s="11"/>
      <c r="E36" s="11"/>
      <c r="F36" s="11"/>
      <c r="G36" s="11"/>
      <c r="H36" s="11"/>
      <c r="I36" s="11"/>
      <c r="J36" s="11"/>
      <c r="K36" s="11"/>
      <c r="L36" s="11"/>
      <c r="M36" s="11"/>
      <c r="N36" s="11"/>
    </row>
    <row r="37" spans="1:14" x14ac:dyDescent="0.3">
      <c r="A37" s="11"/>
      <c r="B37" s="11"/>
      <c r="C37" s="11"/>
      <c r="D37" s="11"/>
      <c r="E37" s="11"/>
      <c r="F37" s="11"/>
      <c r="G37" s="11"/>
      <c r="H37" s="11"/>
      <c r="I37" s="11"/>
      <c r="J37" s="11"/>
      <c r="K37" s="11"/>
      <c r="L37" s="11"/>
      <c r="M37" s="11"/>
      <c r="N37" s="11"/>
    </row>
    <row r="38" spans="1:14" x14ac:dyDescent="0.3">
      <c r="A38" s="11"/>
      <c r="B38" s="11"/>
      <c r="C38" s="11"/>
      <c r="D38" s="11"/>
      <c r="E38" s="11"/>
      <c r="F38" s="11"/>
      <c r="G38" s="11"/>
      <c r="H38" s="11"/>
      <c r="I38" s="11"/>
      <c r="J38" s="11"/>
      <c r="K38" s="11"/>
      <c r="L38" s="11"/>
      <c r="M38" s="11"/>
      <c r="N38" s="11"/>
    </row>
    <row r="39" spans="1:14" x14ac:dyDescent="0.3">
      <c r="A39" s="11"/>
      <c r="B39" s="11"/>
      <c r="C39" s="11"/>
      <c r="D39" s="11"/>
      <c r="E39" s="11"/>
      <c r="F39" s="11"/>
      <c r="G39" s="11"/>
      <c r="H39" s="11"/>
      <c r="I39" s="11"/>
      <c r="J39" s="11"/>
      <c r="K39" s="11"/>
      <c r="L39" s="11"/>
      <c r="M39" s="11"/>
      <c r="N39" s="11"/>
    </row>
    <row r="40" spans="1:14" x14ac:dyDescent="0.3">
      <c r="A40" s="11"/>
      <c r="B40" s="11"/>
      <c r="C40" s="11"/>
      <c r="D40" s="11"/>
      <c r="E40" s="11"/>
      <c r="F40" s="11"/>
      <c r="G40" s="11"/>
      <c r="H40" s="11"/>
      <c r="I40" s="11"/>
      <c r="J40" s="11"/>
      <c r="K40" s="11"/>
      <c r="L40" s="11"/>
      <c r="M40" s="11"/>
      <c r="N40" s="11"/>
    </row>
  </sheetData>
  <sheetProtection sheet="1" objects="1" scenarios="1" sort="0" autoFilter="0"/>
  <mergeCells count="4">
    <mergeCell ref="B1:K1"/>
    <mergeCell ref="B2:K2"/>
    <mergeCell ref="B3:K3"/>
    <mergeCell ref="B5:K5"/>
  </mergeCells>
  <phoneticPr fontId="31" type="noConversion"/>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787C7-192B-48EA-A061-5C71FADF4683}">
  <sheetPr>
    <tabColor rgb="FF548235"/>
  </sheetPr>
  <dimension ref="A1:O320"/>
  <sheetViews>
    <sheetView showGridLines="0" workbookViewId="0">
      <pane ySplit="7" topLeftCell="A23" activePane="bottomLeft" state="frozen"/>
      <selection pane="bottomLeft"/>
    </sheetView>
  </sheetViews>
  <sheetFormatPr defaultRowHeight="14.4" x14ac:dyDescent="0.3"/>
  <cols>
    <col min="1" max="1" width="2.5546875" customWidth="1"/>
    <col min="2" max="2" width="11.109375" customWidth="1"/>
    <col min="3" max="3" width="16.6640625" customWidth="1"/>
    <col min="4" max="4" width="74.109375" customWidth="1"/>
    <col min="5" max="5" width="40.77734375" customWidth="1"/>
    <col min="6" max="6" width="14.77734375" customWidth="1"/>
    <col min="7" max="8" width="20.33203125" customWidth="1"/>
    <col min="9" max="10" width="24.109375" customWidth="1"/>
    <col min="11" max="12" width="20.33203125" customWidth="1"/>
    <col min="13" max="13" width="21.33203125" customWidth="1"/>
    <col min="14" max="15" width="22.21875" customWidth="1"/>
  </cols>
  <sheetData>
    <row r="1" spans="1:15" ht="30" customHeight="1" x14ac:dyDescent="0.3">
      <c r="A1" s="11"/>
      <c r="B1" s="85" t="s">
        <v>0</v>
      </c>
      <c r="C1" s="45"/>
      <c r="D1" s="45"/>
      <c r="E1" s="45"/>
      <c r="F1" s="45"/>
      <c r="G1" s="45"/>
      <c r="H1" s="45"/>
      <c r="I1" s="45"/>
      <c r="J1" s="45"/>
      <c r="K1" s="45"/>
      <c r="L1" s="45"/>
      <c r="M1" s="45"/>
      <c r="N1" s="45"/>
      <c r="O1" s="45"/>
    </row>
    <row r="2" spans="1:15" x14ac:dyDescent="0.3">
      <c r="A2" s="11"/>
      <c r="B2" s="86" t="s">
        <v>233</v>
      </c>
      <c r="C2" s="45"/>
      <c r="D2" s="45"/>
      <c r="E2" s="45"/>
      <c r="F2" s="45"/>
      <c r="G2" s="45"/>
      <c r="H2" s="45"/>
      <c r="I2" s="45"/>
      <c r="J2" s="45"/>
      <c r="K2" s="45"/>
      <c r="L2" s="45"/>
      <c r="M2" s="45"/>
      <c r="N2" s="45"/>
      <c r="O2" s="45"/>
    </row>
    <row r="3" spans="1:15" x14ac:dyDescent="0.3">
      <c r="A3" s="11"/>
      <c r="B3" s="87" t="s">
        <v>234</v>
      </c>
      <c r="C3" s="45"/>
      <c r="D3" s="45"/>
      <c r="E3" s="45"/>
      <c r="F3" s="45"/>
      <c r="G3" s="45"/>
      <c r="H3" s="45"/>
      <c r="I3" s="45"/>
      <c r="J3" s="45"/>
      <c r="K3" s="45"/>
      <c r="L3" s="45"/>
      <c r="M3" s="45"/>
      <c r="N3" s="45"/>
      <c r="O3" s="45"/>
    </row>
    <row r="4" spans="1:15" x14ac:dyDescent="0.3">
      <c r="A4" s="11"/>
      <c r="B4" s="88"/>
      <c r="C4" s="88"/>
      <c r="D4" s="88"/>
      <c r="E4" s="88"/>
      <c r="F4" s="88"/>
      <c r="G4" s="88"/>
      <c r="H4" s="88"/>
      <c r="I4" s="88"/>
      <c r="J4" s="88"/>
      <c r="K4" s="88"/>
      <c r="L4" s="88"/>
      <c r="M4" s="88"/>
      <c r="N4" s="88"/>
      <c r="O4" s="88"/>
    </row>
    <row r="5" spans="1:15" ht="15.6" x14ac:dyDescent="0.3">
      <c r="A5" s="11"/>
      <c r="B5" s="89" t="s">
        <v>235</v>
      </c>
      <c r="C5" s="45"/>
      <c r="D5" s="45"/>
      <c r="E5" s="45"/>
      <c r="F5" s="45"/>
      <c r="G5" s="45"/>
      <c r="H5" s="45"/>
      <c r="I5" s="45"/>
      <c r="J5" s="45"/>
      <c r="K5" s="45"/>
      <c r="L5" s="45"/>
      <c r="M5" s="45"/>
      <c r="N5" s="45"/>
      <c r="O5" s="45"/>
    </row>
    <row r="6" spans="1:15" x14ac:dyDescent="0.3">
      <c r="A6" s="11"/>
      <c r="B6" s="90" t="s">
        <v>752</v>
      </c>
      <c r="C6" s="45"/>
      <c r="D6" s="45"/>
      <c r="E6" s="45"/>
      <c r="F6" s="45"/>
      <c r="G6" s="45"/>
      <c r="H6" s="45"/>
      <c r="I6" s="45"/>
      <c r="J6" s="45"/>
      <c r="K6" s="45"/>
      <c r="L6" s="45"/>
      <c r="M6" s="45"/>
      <c r="N6" s="45"/>
      <c r="O6" s="45"/>
    </row>
    <row r="7" spans="1:15" x14ac:dyDescent="0.3">
      <c r="A7" s="11"/>
      <c r="B7" s="91" t="s">
        <v>236</v>
      </c>
      <c r="C7" s="91" t="s">
        <v>237</v>
      </c>
      <c r="D7" s="91" t="s">
        <v>238</v>
      </c>
      <c r="E7" s="91" t="s">
        <v>239</v>
      </c>
      <c r="F7" s="91" t="s">
        <v>172</v>
      </c>
      <c r="G7" s="91" t="s">
        <v>240</v>
      </c>
      <c r="H7" s="91" t="s">
        <v>241</v>
      </c>
      <c r="I7" s="91" t="s">
        <v>242</v>
      </c>
      <c r="J7" s="91" t="s">
        <v>243</v>
      </c>
      <c r="K7" s="91" t="s">
        <v>244</v>
      </c>
      <c r="L7" s="91" t="s">
        <v>245</v>
      </c>
      <c r="M7" s="91" t="s">
        <v>246</v>
      </c>
      <c r="N7" s="91" t="s">
        <v>247</v>
      </c>
      <c r="O7" s="91" t="s">
        <v>248</v>
      </c>
    </row>
    <row r="8" spans="1:15" x14ac:dyDescent="0.3">
      <c r="A8" s="11"/>
      <c r="B8" s="93">
        <v>1</v>
      </c>
      <c r="C8" s="94">
        <v>46023</v>
      </c>
      <c r="D8" s="95" t="s">
        <v>249</v>
      </c>
      <c r="E8" s="95" t="s">
        <v>250</v>
      </c>
      <c r="F8" s="96" t="s">
        <v>182</v>
      </c>
      <c r="G8" s="96" t="s">
        <v>179</v>
      </c>
      <c r="H8" s="97">
        <v>19979</v>
      </c>
      <c r="I8" s="96" t="s">
        <v>251</v>
      </c>
      <c r="J8" s="97">
        <v>3995.8</v>
      </c>
      <c r="K8" s="92">
        <f>IF(INDEX(Cat_ChargesVAT,MATCH(tbl_Ledger[[#This Row],[Tax Category]],Cat_Codes,0))="No",0,tbl_Ledger[[#This Row],[Amount]]*VAT_Rate)</f>
        <v>2996.85</v>
      </c>
      <c r="L8" s="92">
        <f>IF(INDEX(Cat_ChargesVAT,MATCH(tbl_Ledger[[#This Row],[Tax Category]],Cat_Codes,0))="No",0,tbl_Ledger[[#This Row],[Amount]]*NHIL_Rate)</f>
        <v>499.47500000000002</v>
      </c>
      <c r="M8" s="92">
        <f>IF(INDEX(Cat_ChargesVAT,MATCH(tbl_Ledger[[#This Row],[Tax Category]],Cat_Codes,0))="No",0,tbl_Ledger[[#This Row],[Amount]]*GETFund_Rate)</f>
        <v>499.47500000000002</v>
      </c>
      <c r="N8" s="92">
        <f>tbl_Ledger[[#This Row],[Expected VAT]]+tbl_Ledger[[#This Row],[Expected NHIL]]+tbl_Ledger[[#This Row],[Expected GETFund]]</f>
        <v>3995.7999999999997</v>
      </c>
      <c r="O8" s="92">
        <f>tbl_Ledger[[#This Row],[Amount]]+tbl_Ledger[[#This Row],[Tax Charged on Invoice]]</f>
        <v>23974.799999999999</v>
      </c>
    </row>
    <row r="9" spans="1:15" x14ac:dyDescent="0.3">
      <c r="A9" s="11"/>
      <c r="B9" s="93">
        <v>2</v>
      </c>
      <c r="C9" s="94">
        <v>46025</v>
      </c>
      <c r="D9" s="95" t="s">
        <v>252</v>
      </c>
      <c r="E9" s="95" t="s">
        <v>253</v>
      </c>
      <c r="F9" s="96" t="s">
        <v>182</v>
      </c>
      <c r="G9" s="96" t="s">
        <v>179</v>
      </c>
      <c r="H9" s="97">
        <v>63242</v>
      </c>
      <c r="I9" s="96" t="s">
        <v>254</v>
      </c>
      <c r="J9" s="97">
        <v>12648.4</v>
      </c>
      <c r="K9" s="92">
        <f>IF(INDEX(Cat_ChargesVAT,MATCH(tbl_Ledger[[#This Row],[Tax Category]],Cat_Codes,0))="No",0,tbl_Ledger[[#This Row],[Amount]]*VAT_Rate)</f>
        <v>9486.2999999999993</v>
      </c>
      <c r="L9" s="92">
        <f>IF(INDEX(Cat_ChargesVAT,MATCH(tbl_Ledger[[#This Row],[Tax Category]],Cat_Codes,0))="No",0,tbl_Ledger[[#This Row],[Amount]]*NHIL_Rate)</f>
        <v>1581.0500000000002</v>
      </c>
      <c r="M9" s="92">
        <f>IF(INDEX(Cat_ChargesVAT,MATCH(tbl_Ledger[[#This Row],[Tax Category]],Cat_Codes,0))="No",0,tbl_Ledger[[#This Row],[Amount]]*GETFund_Rate)</f>
        <v>1581.0500000000002</v>
      </c>
      <c r="N9" s="92">
        <f>tbl_Ledger[[#This Row],[Expected VAT]]+tbl_Ledger[[#This Row],[Expected NHIL]]+tbl_Ledger[[#This Row],[Expected GETFund]]</f>
        <v>12648.399999999998</v>
      </c>
      <c r="O9" s="92">
        <f>tbl_Ledger[[#This Row],[Amount]]+tbl_Ledger[[#This Row],[Tax Charged on Invoice]]</f>
        <v>75890.399999999994</v>
      </c>
    </row>
    <row r="10" spans="1:15" x14ac:dyDescent="0.3">
      <c r="A10" s="11"/>
      <c r="B10" s="93">
        <v>3</v>
      </c>
      <c r="C10" s="94">
        <v>46026</v>
      </c>
      <c r="D10" s="95" t="s">
        <v>255</v>
      </c>
      <c r="E10" s="95" t="s">
        <v>256</v>
      </c>
      <c r="F10" s="96" t="s">
        <v>201</v>
      </c>
      <c r="G10" s="96" t="s">
        <v>199</v>
      </c>
      <c r="H10" s="97">
        <v>1670</v>
      </c>
      <c r="I10" s="96" t="s">
        <v>257</v>
      </c>
      <c r="J10" s="97">
        <v>334</v>
      </c>
      <c r="K10" s="92">
        <f>IF(INDEX(Cat_ChargesVAT,MATCH(tbl_Ledger[[#This Row],[Tax Category]],Cat_Codes,0))="No",0,tbl_Ledger[[#This Row],[Amount]]*VAT_Rate)</f>
        <v>250.5</v>
      </c>
      <c r="L10" s="92">
        <f>IF(INDEX(Cat_ChargesVAT,MATCH(tbl_Ledger[[#This Row],[Tax Category]],Cat_Codes,0))="No",0,tbl_Ledger[[#This Row],[Amount]]*NHIL_Rate)</f>
        <v>41.75</v>
      </c>
      <c r="M10" s="92">
        <f>IF(INDEX(Cat_ChargesVAT,MATCH(tbl_Ledger[[#This Row],[Tax Category]],Cat_Codes,0))="No",0,tbl_Ledger[[#This Row],[Amount]]*GETFund_Rate)</f>
        <v>41.75</v>
      </c>
      <c r="N10" s="92">
        <f>tbl_Ledger[[#This Row],[Expected VAT]]+tbl_Ledger[[#This Row],[Expected NHIL]]+tbl_Ledger[[#This Row],[Expected GETFund]]</f>
        <v>334</v>
      </c>
      <c r="O10" s="92">
        <f>tbl_Ledger[[#This Row],[Amount]]+tbl_Ledger[[#This Row],[Tax Charged on Invoice]]</f>
        <v>2004</v>
      </c>
    </row>
    <row r="11" spans="1:15" x14ac:dyDescent="0.3">
      <c r="A11" s="11"/>
      <c r="B11" s="93">
        <v>4</v>
      </c>
      <c r="C11" s="94">
        <v>46027</v>
      </c>
      <c r="D11" s="95" t="s">
        <v>258</v>
      </c>
      <c r="E11" s="95" t="s">
        <v>253</v>
      </c>
      <c r="F11" s="96" t="s">
        <v>182</v>
      </c>
      <c r="G11" s="96" t="s">
        <v>187</v>
      </c>
      <c r="H11" s="97">
        <v>68614</v>
      </c>
      <c r="I11" s="96" t="s">
        <v>259</v>
      </c>
      <c r="J11" s="97">
        <v>13722.8</v>
      </c>
      <c r="K11" s="92">
        <f>IF(INDEX(Cat_ChargesVAT,MATCH(tbl_Ledger[[#This Row],[Tax Category]],Cat_Codes,0))="No",0,tbl_Ledger[[#This Row],[Amount]]*VAT_Rate)</f>
        <v>10292.1</v>
      </c>
      <c r="L11" s="92">
        <f>IF(INDEX(Cat_ChargesVAT,MATCH(tbl_Ledger[[#This Row],[Tax Category]],Cat_Codes,0))="No",0,tbl_Ledger[[#This Row],[Amount]]*NHIL_Rate)</f>
        <v>1715.3500000000001</v>
      </c>
      <c r="M11" s="92">
        <f>IF(INDEX(Cat_ChargesVAT,MATCH(tbl_Ledger[[#This Row],[Tax Category]],Cat_Codes,0))="No",0,tbl_Ledger[[#This Row],[Amount]]*GETFund_Rate)</f>
        <v>1715.3500000000001</v>
      </c>
      <c r="N11" s="92">
        <f>tbl_Ledger[[#This Row],[Expected VAT]]+tbl_Ledger[[#This Row],[Expected NHIL]]+tbl_Ledger[[#This Row],[Expected GETFund]]</f>
        <v>13722.800000000001</v>
      </c>
      <c r="O11" s="92">
        <f>tbl_Ledger[[#This Row],[Amount]]+tbl_Ledger[[#This Row],[Tax Charged on Invoice]]</f>
        <v>82336.800000000003</v>
      </c>
    </row>
    <row r="12" spans="1:15" x14ac:dyDescent="0.3">
      <c r="A12" s="11"/>
      <c r="B12" s="93">
        <v>5</v>
      </c>
      <c r="C12" s="94">
        <v>46028</v>
      </c>
      <c r="D12" s="95" t="s">
        <v>260</v>
      </c>
      <c r="E12" s="95" t="s">
        <v>261</v>
      </c>
      <c r="F12" s="96" t="s">
        <v>182</v>
      </c>
      <c r="G12" s="96" t="s">
        <v>179</v>
      </c>
      <c r="H12" s="97">
        <v>66547</v>
      </c>
      <c r="I12" s="96" t="s">
        <v>262</v>
      </c>
      <c r="J12" s="97">
        <v>13309.4</v>
      </c>
      <c r="K12" s="92">
        <f>IF(INDEX(Cat_ChargesVAT,MATCH(tbl_Ledger[[#This Row],[Tax Category]],Cat_Codes,0))="No",0,tbl_Ledger[[#This Row],[Amount]]*VAT_Rate)</f>
        <v>9982.0499999999993</v>
      </c>
      <c r="L12" s="92">
        <f>IF(INDEX(Cat_ChargesVAT,MATCH(tbl_Ledger[[#This Row],[Tax Category]],Cat_Codes,0))="No",0,tbl_Ledger[[#This Row],[Amount]]*NHIL_Rate)</f>
        <v>1663.6750000000002</v>
      </c>
      <c r="M12" s="92">
        <f>IF(INDEX(Cat_ChargesVAT,MATCH(tbl_Ledger[[#This Row],[Tax Category]],Cat_Codes,0))="No",0,tbl_Ledger[[#This Row],[Amount]]*GETFund_Rate)</f>
        <v>1663.6750000000002</v>
      </c>
      <c r="N12" s="92">
        <f>tbl_Ledger[[#This Row],[Expected VAT]]+tbl_Ledger[[#This Row],[Expected NHIL]]+tbl_Ledger[[#This Row],[Expected GETFund]]</f>
        <v>13309.399999999998</v>
      </c>
      <c r="O12" s="92">
        <f>tbl_Ledger[[#This Row],[Amount]]+tbl_Ledger[[#This Row],[Tax Charged on Invoice]]</f>
        <v>79856.399999999994</v>
      </c>
    </row>
    <row r="13" spans="1:15" x14ac:dyDescent="0.3">
      <c r="A13" s="11"/>
      <c r="B13" s="93">
        <v>6</v>
      </c>
      <c r="C13" s="94">
        <v>46028</v>
      </c>
      <c r="D13" s="95" t="s">
        <v>263</v>
      </c>
      <c r="E13" s="95" t="s">
        <v>253</v>
      </c>
      <c r="F13" s="96" t="s">
        <v>182</v>
      </c>
      <c r="G13" s="96" t="s">
        <v>187</v>
      </c>
      <c r="H13" s="97">
        <v>58678</v>
      </c>
      <c r="I13" s="96" t="s">
        <v>264</v>
      </c>
      <c r="J13" s="97">
        <v>11735.6</v>
      </c>
      <c r="K13" s="92">
        <f>IF(INDEX(Cat_ChargesVAT,MATCH(tbl_Ledger[[#This Row],[Tax Category]],Cat_Codes,0))="No",0,tbl_Ledger[[#This Row],[Amount]]*VAT_Rate)</f>
        <v>8801.6999999999989</v>
      </c>
      <c r="L13" s="92">
        <f>IF(INDEX(Cat_ChargesVAT,MATCH(tbl_Ledger[[#This Row],[Tax Category]],Cat_Codes,0))="No",0,tbl_Ledger[[#This Row],[Amount]]*NHIL_Rate)</f>
        <v>1466.95</v>
      </c>
      <c r="M13" s="92">
        <f>IF(INDEX(Cat_ChargesVAT,MATCH(tbl_Ledger[[#This Row],[Tax Category]],Cat_Codes,0))="No",0,tbl_Ledger[[#This Row],[Amount]]*GETFund_Rate)</f>
        <v>1466.95</v>
      </c>
      <c r="N13" s="92">
        <f>tbl_Ledger[[#This Row],[Expected VAT]]+tbl_Ledger[[#This Row],[Expected NHIL]]+tbl_Ledger[[#This Row],[Expected GETFund]]</f>
        <v>11735.6</v>
      </c>
      <c r="O13" s="92">
        <f>tbl_Ledger[[#This Row],[Amount]]+tbl_Ledger[[#This Row],[Tax Charged on Invoice]]</f>
        <v>70413.600000000006</v>
      </c>
    </row>
    <row r="14" spans="1:15" x14ac:dyDescent="0.3">
      <c r="A14" s="11"/>
      <c r="B14" s="93">
        <v>7</v>
      </c>
      <c r="C14" s="94">
        <v>46029</v>
      </c>
      <c r="D14" s="95" t="s">
        <v>265</v>
      </c>
      <c r="E14" s="95" t="s">
        <v>250</v>
      </c>
      <c r="F14" s="96" t="s">
        <v>182</v>
      </c>
      <c r="G14" s="96" t="s">
        <v>179</v>
      </c>
      <c r="H14" s="97">
        <v>90933</v>
      </c>
      <c r="I14" s="96" t="s">
        <v>266</v>
      </c>
      <c r="J14" s="97">
        <v>18186.599999999999</v>
      </c>
      <c r="K14" s="92">
        <f>IF(INDEX(Cat_ChargesVAT,MATCH(tbl_Ledger[[#This Row],[Tax Category]],Cat_Codes,0))="No",0,tbl_Ledger[[#This Row],[Amount]]*VAT_Rate)</f>
        <v>13639.949999999999</v>
      </c>
      <c r="L14" s="92">
        <f>IF(INDEX(Cat_ChargesVAT,MATCH(tbl_Ledger[[#This Row],[Tax Category]],Cat_Codes,0))="No",0,tbl_Ledger[[#This Row],[Amount]]*NHIL_Rate)</f>
        <v>2273.3250000000003</v>
      </c>
      <c r="M14" s="92">
        <f>IF(INDEX(Cat_ChargesVAT,MATCH(tbl_Ledger[[#This Row],[Tax Category]],Cat_Codes,0))="No",0,tbl_Ledger[[#This Row],[Amount]]*GETFund_Rate)</f>
        <v>2273.3250000000003</v>
      </c>
      <c r="N14" s="92">
        <f>tbl_Ledger[[#This Row],[Expected VAT]]+tbl_Ledger[[#This Row],[Expected NHIL]]+tbl_Ledger[[#This Row],[Expected GETFund]]</f>
        <v>18186.599999999999</v>
      </c>
      <c r="O14" s="92">
        <f>tbl_Ledger[[#This Row],[Amount]]+tbl_Ledger[[#This Row],[Tax Charged on Invoice]]</f>
        <v>109119.6</v>
      </c>
    </row>
    <row r="15" spans="1:15" x14ac:dyDescent="0.3">
      <c r="A15" s="11"/>
      <c r="B15" s="93">
        <v>8</v>
      </c>
      <c r="C15" s="94">
        <v>46032</v>
      </c>
      <c r="D15" s="95" t="s">
        <v>267</v>
      </c>
      <c r="E15" s="95" t="s">
        <v>268</v>
      </c>
      <c r="F15" s="96" t="s">
        <v>201</v>
      </c>
      <c r="G15" s="96" t="s">
        <v>205</v>
      </c>
      <c r="H15" s="97">
        <v>60137</v>
      </c>
      <c r="I15" s="96" t="s">
        <v>269</v>
      </c>
      <c r="J15" s="97">
        <v>0</v>
      </c>
      <c r="K15" s="92">
        <f>IF(INDEX(Cat_ChargesVAT,MATCH(tbl_Ledger[[#This Row],[Tax Category]],Cat_Codes,0))="No",0,tbl_Ledger[[#This Row],[Amount]]*VAT_Rate)</f>
        <v>0</v>
      </c>
      <c r="L15" s="92">
        <f>IF(INDEX(Cat_ChargesVAT,MATCH(tbl_Ledger[[#This Row],[Tax Category]],Cat_Codes,0))="No",0,tbl_Ledger[[#This Row],[Amount]]*NHIL_Rate)</f>
        <v>0</v>
      </c>
      <c r="M15" s="92">
        <f>IF(INDEX(Cat_ChargesVAT,MATCH(tbl_Ledger[[#This Row],[Tax Category]],Cat_Codes,0))="No",0,tbl_Ledger[[#This Row],[Amount]]*GETFund_Rate)</f>
        <v>0</v>
      </c>
      <c r="N15" s="92">
        <f>tbl_Ledger[[#This Row],[Expected VAT]]+tbl_Ledger[[#This Row],[Expected NHIL]]+tbl_Ledger[[#This Row],[Expected GETFund]]</f>
        <v>0</v>
      </c>
      <c r="O15" s="92">
        <f>tbl_Ledger[[#This Row],[Amount]]+tbl_Ledger[[#This Row],[Tax Charged on Invoice]]</f>
        <v>60137</v>
      </c>
    </row>
    <row r="16" spans="1:15" x14ac:dyDescent="0.3">
      <c r="A16" s="11"/>
      <c r="B16" s="93">
        <v>9</v>
      </c>
      <c r="C16" s="94">
        <v>46032</v>
      </c>
      <c r="D16" s="95" t="s">
        <v>270</v>
      </c>
      <c r="E16" s="95" t="s">
        <v>268</v>
      </c>
      <c r="F16" s="96" t="s">
        <v>201</v>
      </c>
      <c r="G16" s="96" t="s">
        <v>205</v>
      </c>
      <c r="H16" s="97">
        <v>44086</v>
      </c>
      <c r="I16" s="96" t="s">
        <v>271</v>
      </c>
      <c r="J16" s="97">
        <v>0</v>
      </c>
      <c r="K16" s="92">
        <f>IF(INDEX(Cat_ChargesVAT,MATCH(tbl_Ledger[[#This Row],[Tax Category]],Cat_Codes,0))="No",0,tbl_Ledger[[#This Row],[Amount]]*VAT_Rate)</f>
        <v>0</v>
      </c>
      <c r="L16" s="92">
        <f>IF(INDEX(Cat_ChargesVAT,MATCH(tbl_Ledger[[#This Row],[Tax Category]],Cat_Codes,0))="No",0,tbl_Ledger[[#This Row],[Amount]]*NHIL_Rate)</f>
        <v>0</v>
      </c>
      <c r="M16" s="92">
        <f>IF(INDEX(Cat_ChargesVAT,MATCH(tbl_Ledger[[#This Row],[Tax Category]],Cat_Codes,0))="No",0,tbl_Ledger[[#This Row],[Amount]]*GETFund_Rate)</f>
        <v>0</v>
      </c>
      <c r="N16" s="92">
        <f>tbl_Ledger[[#This Row],[Expected VAT]]+tbl_Ledger[[#This Row],[Expected NHIL]]+tbl_Ledger[[#This Row],[Expected GETFund]]</f>
        <v>0</v>
      </c>
      <c r="O16" s="92">
        <f>tbl_Ledger[[#This Row],[Amount]]+tbl_Ledger[[#This Row],[Tax Charged on Invoice]]</f>
        <v>44086</v>
      </c>
    </row>
    <row r="17" spans="1:15" x14ac:dyDescent="0.3">
      <c r="A17" s="11"/>
      <c r="B17" s="93">
        <v>10</v>
      </c>
      <c r="C17" s="94">
        <v>46034</v>
      </c>
      <c r="D17" s="95" t="s">
        <v>272</v>
      </c>
      <c r="E17" s="95" t="s">
        <v>268</v>
      </c>
      <c r="F17" s="96" t="s">
        <v>201</v>
      </c>
      <c r="G17" s="96" t="s">
        <v>205</v>
      </c>
      <c r="H17" s="97">
        <v>77769</v>
      </c>
      <c r="I17" s="96" t="s">
        <v>273</v>
      </c>
      <c r="J17" s="97">
        <v>0</v>
      </c>
      <c r="K17" s="92">
        <f>IF(INDEX(Cat_ChargesVAT,MATCH(tbl_Ledger[[#This Row],[Tax Category]],Cat_Codes,0))="No",0,tbl_Ledger[[#This Row],[Amount]]*VAT_Rate)</f>
        <v>0</v>
      </c>
      <c r="L17" s="92">
        <f>IF(INDEX(Cat_ChargesVAT,MATCH(tbl_Ledger[[#This Row],[Tax Category]],Cat_Codes,0))="No",0,tbl_Ledger[[#This Row],[Amount]]*NHIL_Rate)</f>
        <v>0</v>
      </c>
      <c r="M17" s="92">
        <f>IF(INDEX(Cat_ChargesVAT,MATCH(tbl_Ledger[[#This Row],[Tax Category]],Cat_Codes,0))="No",0,tbl_Ledger[[#This Row],[Amount]]*GETFund_Rate)</f>
        <v>0</v>
      </c>
      <c r="N17" s="92">
        <f>tbl_Ledger[[#This Row],[Expected VAT]]+tbl_Ledger[[#This Row],[Expected NHIL]]+tbl_Ledger[[#This Row],[Expected GETFund]]</f>
        <v>0</v>
      </c>
      <c r="O17" s="92">
        <f>tbl_Ledger[[#This Row],[Amount]]+tbl_Ledger[[#This Row],[Tax Charged on Invoice]]</f>
        <v>77769</v>
      </c>
    </row>
    <row r="18" spans="1:15" x14ac:dyDescent="0.3">
      <c r="A18" s="11"/>
      <c r="B18" s="93">
        <v>11</v>
      </c>
      <c r="C18" s="94">
        <v>46036</v>
      </c>
      <c r="D18" s="95" t="s">
        <v>274</v>
      </c>
      <c r="E18" s="95" t="s">
        <v>275</v>
      </c>
      <c r="F18" s="96" t="s">
        <v>201</v>
      </c>
      <c r="G18" s="96" t="s">
        <v>212</v>
      </c>
      <c r="H18" s="97">
        <v>25595</v>
      </c>
      <c r="I18" s="96" t="s">
        <v>276</v>
      </c>
      <c r="J18" s="97">
        <v>0</v>
      </c>
      <c r="K18" s="92">
        <f>IF(INDEX(Cat_ChargesVAT,MATCH(tbl_Ledger[[#This Row],[Tax Category]],Cat_Codes,0))="No",0,tbl_Ledger[[#This Row],[Amount]]*VAT_Rate)</f>
        <v>0</v>
      </c>
      <c r="L18" s="92">
        <f>IF(INDEX(Cat_ChargesVAT,MATCH(tbl_Ledger[[#This Row],[Tax Category]],Cat_Codes,0))="No",0,tbl_Ledger[[#This Row],[Amount]]*NHIL_Rate)</f>
        <v>0</v>
      </c>
      <c r="M18" s="92">
        <f>IF(INDEX(Cat_ChargesVAT,MATCH(tbl_Ledger[[#This Row],[Tax Category]],Cat_Codes,0))="No",0,tbl_Ledger[[#This Row],[Amount]]*GETFund_Rate)</f>
        <v>0</v>
      </c>
      <c r="N18" s="92">
        <f>tbl_Ledger[[#This Row],[Expected VAT]]+tbl_Ledger[[#This Row],[Expected NHIL]]+tbl_Ledger[[#This Row],[Expected GETFund]]</f>
        <v>0</v>
      </c>
      <c r="O18" s="92">
        <f>tbl_Ledger[[#This Row],[Amount]]+tbl_Ledger[[#This Row],[Tax Charged on Invoice]]</f>
        <v>25595</v>
      </c>
    </row>
    <row r="19" spans="1:15" x14ac:dyDescent="0.3">
      <c r="A19" s="11"/>
      <c r="B19" s="93">
        <v>12</v>
      </c>
      <c r="C19" s="94">
        <v>46037</v>
      </c>
      <c r="D19" s="95" t="s">
        <v>277</v>
      </c>
      <c r="E19" s="95" t="s">
        <v>278</v>
      </c>
      <c r="F19" s="96" t="s">
        <v>201</v>
      </c>
      <c r="G19" s="96" t="s">
        <v>212</v>
      </c>
      <c r="H19" s="97">
        <v>41833</v>
      </c>
      <c r="I19" s="96" t="s">
        <v>279</v>
      </c>
      <c r="J19" s="97">
        <v>0</v>
      </c>
      <c r="K19" s="92">
        <f>IF(INDEX(Cat_ChargesVAT,MATCH(tbl_Ledger[[#This Row],[Tax Category]],Cat_Codes,0))="No",0,tbl_Ledger[[#This Row],[Amount]]*VAT_Rate)</f>
        <v>0</v>
      </c>
      <c r="L19" s="92">
        <f>IF(INDEX(Cat_ChargesVAT,MATCH(tbl_Ledger[[#This Row],[Tax Category]],Cat_Codes,0))="No",0,tbl_Ledger[[#This Row],[Amount]]*NHIL_Rate)</f>
        <v>0</v>
      </c>
      <c r="M19" s="92">
        <f>IF(INDEX(Cat_ChargesVAT,MATCH(tbl_Ledger[[#This Row],[Tax Category]],Cat_Codes,0))="No",0,tbl_Ledger[[#This Row],[Amount]]*GETFund_Rate)</f>
        <v>0</v>
      </c>
      <c r="N19" s="92">
        <f>tbl_Ledger[[#This Row],[Expected VAT]]+tbl_Ledger[[#This Row],[Expected NHIL]]+tbl_Ledger[[#This Row],[Expected GETFund]]</f>
        <v>0</v>
      </c>
      <c r="O19" s="92">
        <f>tbl_Ledger[[#This Row],[Amount]]+tbl_Ledger[[#This Row],[Tax Charged on Invoice]]</f>
        <v>41833</v>
      </c>
    </row>
    <row r="20" spans="1:15" x14ac:dyDescent="0.3">
      <c r="A20" s="11"/>
      <c r="B20" s="93">
        <v>13</v>
      </c>
      <c r="C20" s="94">
        <v>46038</v>
      </c>
      <c r="D20" s="95" t="s">
        <v>280</v>
      </c>
      <c r="E20" s="95" t="s">
        <v>256</v>
      </c>
      <c r="F20" s="96" t="s">
        <v>201</v>
      </c>
      <c r="G20" s="96" t="s">
        <v>199</v>
      </c>
      <c r="H20" s="97">
        <v>36913</v>
      </c>
      <c r="I20" s="96" t="s">
        <v>281</v>
      </c>
      <c r="J20" s="97">
        <v>7382.6</v>
      </c>
      <c r="K20" s="92">
        <f>IF(INDEX(Cat_ChargesVAT,MATCH(tbl_Ledger[[#This Row],[Tax Category]],Cat_Codes,0))="No",0,tbl_Ledger[[#This Row],[Amount]]*VAT_Rate)</f>
        <v>5536.95</v>
      </c>
      <c r="L20" s="92">
        <f>IF(INDEX(Cat_ChargesVAT,MATCH(tbl_Ledger[[#This Row],[Tax Category]],Cat_Codes,0))="No",0,tbl_Ledger[[#This Row],[Amount]]*NHIL_Rate)</f>
        <v>922.82500000000005</v>
      </c>
      <c r="M20" s="92">
        <f>IF(INDEX(Cat_ChargesVAT,MATCH(tbl_Ledger[[#This Row],[Tax Category]],Cat_Codes,0))="No",0,tbl_Ledger[[#This Row],[Amount]]*GETFund_Rate)</f>
        <v>922.82500000000005</v>
      </c>
      <c r="N20" s="92">
        <f>tbl_Ledger[[#This Row],[Expected VAT]]+tbl_Ledger[[#This Row],[Expected NHIL]]+tbl_Ledger[[#This Row],[Expected GETFund]]</f>
        <v>7382.5999999999995</v>
      </c>
      <c r="O20" s="92">
        <f>tbl_Ledger[[#This Row],[Amount]]+tbl_Ledger[[#This Row],[Tax Charged on Invoice]]</f>
        <v>44295.6</v>
      </c>
    </row>
    <row r="21" spans="1:15" x14ac:dyDescent="0.3">
      <c r="A21" s="11"/>
      <c r="B21" s="93">
        <v>14</v>
      </c>
      <c r="C21" s="94">
        <v>46039</v>
      </c>
      <c r="D21" s="95" t="s">
        <v>282</v>
      </c>
      <c r="E21" s="95" t="s">
        <v>283</v>
      </c>
      <c r="F21" s="96" t="s">
        <v>182</v>
      </c>
      <c r="G21" s="96" t="s">
        <v>179</v>
      </c>
      <c r="H21" s="97">
        <v>28357</v>
      </c>
      <c r="I21" s="96" t="s">
        <v>284</v>
      </c>
      <c r="J21" s="97">
        <v>5671.4</v>
      </c>
      <c r="K21" s="92">
        <f>IF(INDEX(Cat_ChargesVAT,MATCH(tbl_Ledger[[#This Row],[Tax Category]],Cat_Codes,0))="No",0,tbl_Ledger[[#This Row],[Amount]]*VAT_Rate)</f>
        <v>4253.55</v>
      </c>
      <c r="L21" s="92">
        <f>IF(INDEX(Cat_ChargesVAT,MATCH(tbl_Ledger[[#This Row],[Tax Category]],Cat_Codes,0))="No",0,tbl_Ledger[[#This Row],[Amount]]*NHIL_Rate)</f>
        <v>708.92500000000007</v>
      </c>
      <c r="M21" s="92">
        <f>IF(INDEX(Cat_ChargesVAT,MATCH(tbl_Ledger[[#This Row],[Tax Category]],Cat_Codes,0))="No",0,tbl_Ledger[[#This Row],[Amount]]*GETFund_Rate)</f>
        <v>708.92500000000007</v>
      </c>
      <c r="N21" s="92">
        <f>tbl_Ledger[[#This Row],[Expected VAT]]+tbl_Ledger[[#This Row],[Expected NHIL]]+tbl_Ledger[[#This Row],[Expected GETFund]]</f>
        <v>5671.4000000000005</v>
      </c>
      <c r="O21" s="92">
        <f>tbl_Ledger[[#This Row],[Amount]]+tbl_Ledger[[#This Row],[Tax Charged on Invoice]]</f>
        <v>34028.400000000001</v>
      </c>
    </row>
    <row r="22" spans="1:15" x14ac:dyDescent="0.3">
      <c r="A22" s="11"/>
      <c r="B22" s="93">
        <v>15</v>
      </c>
      <c r="C22" s="94">
        <v>46040</v>
      </c>
      <c r="D22" s="95" t="s">
        <v>285</v>
      </c>
      <c r="E22" s="95" t="s">
        <v>261</v>
      </c>
      <c r="F22" s="96" t="s">
        <v>182</v>
      </c>
      <c r="G22" s="96" t="s">
        <v>179</v>
      </c>
      <c r="H22" s="97">
        <v>81819</v>
      </c>
      <c r="I22" s="96" t="s">
        <v>286</v>
      </c>
      <c r="J22" s="97">
        <v>16363.8</v>
      </c>
      <c r="K22" s="92">
        <f>IF(INDEX(Cat_ChargesVAT,MATCH(tbl_Ledger[[#This Row],[Tax Category]],Cat_Codes,0))="No",0,tbl_Ledger[[#This Row],[Amount]]*VAT_Rate)</f>
        <v>12272.85</v>
      </c>
      <c r="L22" s="92">
        <f>IF(INDEX(Cat_ChargesVAT,MATCH(tbl_Ledger[[#This Row],[Tax Category]],Cat_Codes,0))="No",0,tbl_Ledger[[#This Row],[Amount]]*NHIL_Rate)</f>
        <v>2045.4750000000001</v>
      </c>
      <c r="M22" s="92">
        <f>IF(INDEX(Cat_ChargesVAT,MATCH(tbl_Ledger[[#This Row],[Tax Category]],Cat_Codes,0))="No",0,tbl_Ledger[[#This Row],[Amount]]*GETFund_Rate)</f>
        <v>2045.4750000000001</v>
      </c>
      <c r="N22" s="92">
        <f>tbl_Ledger[[#This Row],[Expected VAT]]+tbl_Ledger[[#This Row],[Expected NHIL]]+tbl_Ledger[[#This Row],[Expected GETFund]]</f>
        <v>16363.800000000001</v>
      </c>
      <c r="O22" s="92">
        <f>tbl_Ledger[[#This Row],[Amount]]+tbl_Ledger[[#This Row],[Tax Charged on Invoice]]</f>
        <v>98182.8</v>
      </c>
    </row>
    <row r="23" spans="1:15" x14ac:dyDescent="0.3">
      <c r="A23" s="11"/>
      <c r="B23" s="93">
        <v>16</v>
      </c>
      <c r="C23" s="94">
        <v>46040</v>
      </c>
      <c r="D23" s="95" t="s">
        <v>287</v>
      </c>
      <c r="E23" s="95" t="s">
        <v>288</v>
      </c>
      <c r="F23" s="96" t="s">
        <v>182</v>
      </c>
      <c r="G23" s="96" t="s">
        <v>193</v>
      </c>
      <c r="H23" s="97">
        <v>110979</v>
      </c>
      <c r="I23" s="96" t="s">
        <v>289</v>
      </c>
      <c r="J23" s="97">
        <v>22195.8</v>
      </c>
      <c r="K23" s="92">
        <f>IF(INDEX(Cat_ChargesVAT,MATCH(tbl_Ledger[[#This Row],[Tax Category]],Cat_Codes,0))="No",0,tbl_Ledger[[#This Row],[Amount]]*VAT_Rate)</f>
        <v>16646.849999999999</v>
      </c>
      <c r="L23" s="92">
        <f>IF(INDEX(Cat_ChargesVAT,MATCH(tbl_Ledger[[#This Row],[Tax Category]],Cat_Codes,0))="No",0,tbl_Ledger[[#This Row],[Amount]]*NHIL_Rate)</f>
        <v>2774.4750000000004</v>
      </c>
      <c r="M23" s="92">
        <f>IF(INDEX(Cat_ChargesVAT,MATCH(tbl_Ledger[[#This Row],[Tax Category]],Cat_Codes,0))="No",0,tbl_Ledger[[#This Row],[Amount]]*GETFund_Rate)</f>
        <v>2774.4750000000004</v>
      </c>
      <c r="N23" s="92">
        <f>tbl_Ledger[[#This Row],[Expected VAT]]+tbl_Ledger[[#This Row],[Expected NHIL]]+tbl_Ledger[[#This Row],[Expected GETFund]]</f>
        <v>22195.799999999996</v>
      </c>
      <c r="O23" s="92">
        <f>tbl_Ledger[[#This Row],[Amount]]+tbl_Ledger[[#This Row],[Tax Charged on Invoice]]</f>
        <v>133174.79999999999</v>
      </c>
    </row>
    <row r="24" spans="1:15" x14ac:dyDescent="0.3">
      <c r="A24" s="11"/>
      <c r="B24" s="93">
        <v>17</v>
      </c>
      <c r="C24" s="94">
        <v>46041</v>
      </c>
      <c r="D24" s="95" t="s">
        <v>290</v>
      </c>
      <c r="E24" s="95" t="s">
        <v>291</v>
      </c>
      <c r="F24" s="96" t="s">
        <v>201</v>
      </c>
      <c r="G24" s="96" t="s">
        <v>199</v>
      </c>
      <c r="H24" s="97">
        <v>8452</v>
      </c>
      <c r="I24" s="96" t="s">
        <v>292</v>
      </c>
      <c r="J24" s="97">
        <v>1690.4</v>
      </c>
      <c r="K24" s="92">
        <f>IF(INDEX(Cat_ChargesVAT,MATCH(tbl_Ledger[[#This Row],[Tax Category]],Cat_Codes,0))="No",0,tbl_Ledger[[#This Row],[Amount]]*VAT_Rate)</f>
        <v>1267.8</v>
      </c>
      <c r="L24" s="92">
        <f>IF(INDEX(Cat_ChargesVAT,MATCH(tbl_Ledger[[#This Row],[Tax Category]],Cat_Codes,0))="No",0,tbl_Ledger[[#This Row],[Amount]]*NHIL_Rate)</f>
        <v>211.3</v>
      </c>
      <c r="M24" s="92">
        <f>IF(INDEX(Cat_ChargesVAT,MATCH(tbl_Ledger[[#This Row],[Tax Category]],Cat_Codes,0))="No",0,tbl_Ledger[[#This Row],[Amount]]*GETFund_Rate)</f>
        <v>211.3</v>
      </c>
      <c r="N24" s="92">
        <f>tbl_Ledger[[#This Row],[Expected VAT]]+tbl_Ledger[[#This Row],[Expected NHIL]]+tbl_Ledger[[#This Row],[Expected GETFund]]</f>
        <v>1690.3999999999999</v>
      </c>
      <c r="O24" s="92">
        <f>tbl_Ledger[[#This Row],[Amount]]+tbl_Ledger[[#This Row],[Tax Charged on Invoice]]</f>
        <v>10142.4</v>
      </c>
    </row>
    <row r="25" spans="1:15" x14ac:dyDescent="0.3">
      <c r="A25" s="11"/>
      <c r="B25" s="93">
        <v>18</v>
      </c>
      <c r="C25" s="94">
        <v>46042</v>
      </c>
      <c r="D25" s="95" t="s">
        <v>293</v>
      </c>
      <c r="E25" s="95" t="s">
        <v>294</v>
      </c>
      <c r="F25" s="96" t="s">
        <v>182</v>
      </c>
      <c r="G25" s="96" t="s">
        <v>179</v>
      </c>
      <c r="H25" s="97">
        <v>50484</v>
      </c>
      <c r="I25" s="96" t="s">
        <v>295</v>
      </c>
      <c r="J25" s="97">
        <v>10096.799999999999</v>
      </c>
      <c r="K25" s="92">
        <f>IF(INDEX(Cat_ChargesVAT,MATCH(tbl_Ledger[[#This Row],[Tax Category]],Cat_Codes,0))="No",0,tbl_Ledger[[#This Row],[Amount]]*VAT_Rate)</f>
        <v>7572.5999999999995</v>
      </c>
      <c r="L25" s="92">
        <f>IF(INDEX(Cat_ChargesVAT,MATCH(tbl_Ledger[[#This Row],[Tax Category]],Cat_Codes,0))="No",0,tbl_Ledger[[#This Row],[Amount]]*NHIL_Rate)</f>
        <v>1262.1000000000001</v>
      </c>
      <c r="M25" s="92">
        <f>IF(INDEX(Cat_ChargesVAT,MATCH(tbl_Ledger[[#This Row],[Tax Category]],Cat_Codes,0))="No",0,tbl_Ledger[[#This Row],[Amount]]*GETFund_Rate)</f>
        <v>1262.1000000000001</v>
      </c>
      <c r="N25" s="92">
        <f>tbl_Ledger[[#This Row],[Expected VAT]]+tbl_Ledger[[#This Row],[Expected NHIL]]+tbl_Ledger[[#This Row],[Expected GETFund]]</f>
        <v>10096.799999999999</v>
      </c>
      <c r="O25" s="92">
        <f>tbl_Ledger[[#This Row],[Amount]]+tbl_Ledger[[#This Row],[Tax Charged on Invoice]]</f>
        <v>60580.800000000003</v>
      </c>
    </row>
    <row r="26" spans="1:15" x14ac:dyDescent="0.3">
      <c r="A26" s="11"/>
      <c r="B26" s="93">
        <v>19</v>
      </c>
      <c r="C26" s="94">
        <v>46042</v>
      </c>
      <c r="D26" s="95" t="s">
        <v>296</v>
      </c>
      <c r="E26" s="95" t="s">
        <v>253</v>
      </c>
      <c r="F26" s="96" t="s">
        <v>182</v>
      </c>
      <c r="G26" s="96" t="s">
        <v>179</v>
      </c>
      <c r="H26" s="97">
        <v>68532</v>
      </c>
      <c r="I26" s="96" t="s">
        <v>297</v>
      </c>
      <c r="J26" s="97">
        <v>13706.4</v>
      </c>
      <c r="K26" s="92">
        <f>IF(INDEX(Cat_ChargesVAT,MATCH(tbl_Ledger[[#This Row],[Tax Category]],Cat_Codes,0))="No",0,tbl_Ledger[[#This Row],[Amount]]*VAT_Rate)</f>
        <v>10279.799999999999</v>
      </c>
      <c r="L26" s="92">
        <f>IF(INDEX(Cat_ChargesVAT,MATCH(tbl_Ledger[[#This Row],[Tax Category]],Cat_Codes,0))="No",0,tbl_Ledger[[#This Row],[Amount]]*NHIL_Rate)</f>
        <v>1713.3000000000002</v>
      </c>
      <c r="M26" s="92">
        <f>IF(INDEX(Cat_ChargesVAT,MATCH(tbl_Ledger[[#This Row],[Tax Category]],Cat_Codes,0))="No",0,tbl_Ledger[[#This Row],[Amount]]*GETFund_Rate)</f>
        <v>1713.3000000000002</v>
      </c>
      <c r="N26" s="92">
        <f>tbl_Ledger[[#This Row],[Expected VAT]]+tbl_Ledger[[#This Row],[Expected NHIL]]+tbl_Ledger[[#This Row],[Expected GETFund]]</f>
        <v>13706.399999999998</v>
      </c>
      <c r="O26" s="92">
        <f>tbl_Ledger[[#This Row],[Amount]]+tbl_Ledger[[#This Row],[Tax Charged on Invoice]]</f>
        <v>82238.399999999994</v>
      </c>
    </row>
    <row r="27" spans="1:15" x14ac:dyDescent="0.3">
      <c r="A27" s="11"/>
      <c r="B27" s="93">
        <v>20</v>
      </c>
      <c r="C27" s="94">
        <v>46042</v>
      </c>
      <c r="D27" s="95" t="s">
        <v>298</v>
      </c>
      <c r="E27" s="95" t="s">
        <v>288</v>
      </c>
      <c r="F27" s="96" t="s">
        <v>182</v>
      </c>
      <c r="G27" s="96" t="s">
        <v>187</v>
      </c>
      <c r="H27" s="97">
        <v>77329</v>
      </c>
      <c r="I27" s="96" t="s">
        <v>299</v>
      </c>
      <c r="J27" s="97">
        <v>15465.8</v>
      </c>
      <c r="K27" s="92">
        <f>IF(INDEX(Cat_ChargesVAT,MATCH(tbl_Ledger[[#This Row],[Tax Category]],Cat_Codes,0))="No",0,tbl_Ledger[[#This Row],[Amount]]*VAT_Rate)</f>
        <v>11599.35</v>
      </c>
      <c r="L27" s="92">
        <f>IF(INDEX(Cat_ChargesVAT,MATCH(tbl_Ledger[[#This Row],[Tax Category]],Cat_Codes,0))="No",0,tbl_Ledger[[#This Row],[Amount]]*NHIL_Rate)</f>
        <v>1933.2250000000001</v>
      </c>
      <c r="M27" s="92">
        <f>IF(INDEX(Cat_ChargesVAT,MATCH(tbl_Ledger[[#This Row],[Tax Category]],Cat_Codes,0))="No",0,tbl_Ledger[[#This Row],[Amount]]*GETFund_Rate)</f>
        <v>1933.2250000000001</v>
      </c>
      <c r="N27" s="92">
        <f>tbl_Ledger[[#This Row],[Expected VAT]]+tbl_Ledger[[#This Row],[Expected NHIL]]+tbl_Ledger[[#This Row],[Expected GETFund]]</f>
        <v>15465.800000000001</v>
      </c>
      <c r="O27" s="92">
        <f>tbl_Ledger[[#This Row],[Amount]]+tbl_Ledger[[#This Row],[Tax Charged on Invoice]]</f>
        <v>92794.8</v>
      </c>
    </row>
    <row r="28" spans="1:15" x14ac:dyDescent="0.3">
      <c r="A28" s="11"/>
      <c r="B28" s="93">
        <v>21</v>
      </c>
      <c r="C28" s="94">
        <v>46043</v>
      </c>
      <c r="D28" s="95" t="s">
        <v>300</v>
      </c>
      <c r="E28" s="95" t="s">
        <v>268</v>
      </c>
      <c r="F28" s="96" t="s">
        <v>201</v>
      </c>
      <c r="G28" s="96" t="s">
        <v>205</v>
      </c>
      <c r="H28" s="97">
        <v>82250</v>
      </c>
      <c r="I28" s="96" t="s">
        <v>301</v>
      </c>
      <c r="J28" s="97">
        <v>0</v>
      </c>
      <c r="K28" s="92">
        <f>IF(INDEX(Cat_ChargesVAT,MATCH(tbl_Ledger[[#This Row],[Tax Category]],Cat_Codes,0))="No",0,tbl_Ledger[[#This Row],[Amount]]*VAT_Rate)</f>
        <v>0</v>
      </c>
      <c r="L28" s="92">
        <f>IF(INDEX(Cat_ChargesVAT,MATCH(tbl_Ledger[[#This Row],[Tax Category]],Cat_Codes,0))="No",0,tbl_Ledger[[#This Row],[Amount]]*NHIL_Rate)</f>
        <v>0</v>
      </c>
      <c r="M28" s="92">
        <f>IF(INDEX(Cat_ChargesVAT,MATCH(tbl_Ledger[[#This Row],[Tax Category]],Cat_Codes,0))="No",0,tbl_Ledger[[#This Row],[Amount]]*GETFund_Rate)</f>
        <v>0</v>
      </c>
      <c r="N28" s="92">
        <f>tbl_Ledger[[#This Row],[Expected VAT]]+tbl_Ledger[[#This Row],[Expected NHIL]]+tbl_Ledger[[#This Row],[Expected GETFund]]</f>
        <v>0</v>
      </c>
      <c r="O28" s="92">
        <f>tbl_Ledger[[#This Row],[Amount]]+tbl_Ledger[[#This Row],[Tax Charged on Invoice]]</f>
        <v>82250</v>
      </c>
    </row>
    <row r="29" spans="1:15" x14ac:dyDescent="0.3">
      <c r="A29" s="11"/>
      <c r="B29" s="93">
        <v>22</v>
      </c>
      <c r="C29" s="94">
        <v>46043</v>
      </c>
      <c r="D29" s="95" t="s">
        <v>302</v>
      </c>
      <c r="E29" s="95" t="s">
        <v>250</v>
      </c>
      <c r="F29" s="96" t="s">
        <v>182</v>
      </c>
      <c r="G29" s="96" t="s">
        <v>179</v>
      </c>
      <c r="H29" s="97">
        <v>33694</v>
      </c>
      <c r="I29" s="96" t="s">
        <v>303</v>
      </c>
      <c r="J29" s="97">
        <v>6738.8</v>
      </c>
      <c r="K29" s="92">
        <f>IF(INDEX(Cat_ChargesVAT,MATCH(tbl_Ledger[[#This Row],[Tax Category]],Cat_Codes,0))="No",0,tbl_Ledger[[#This Row],[Amount]]*VAT_Rate)</f>
        <v>5054.0999999999995</v>
      </c>
      <c r="L29" s="92">
        <f>IF(INDEX(Cat_ChargesVAT,MATCH(tbl_Ledger[[#This Row],[Tax Category]],Cat_Codes,0))="No",0,tbl_Ledger[[#This Row],[Amount]]*NHIL_Rate)</f>
        <v>842.35</v>
      </c>
      <c r="M29" s="92">
        <f>IF(INDEX(Cat_ChargesVAT,MATCH(tbl_Ledger[[#This Row],[Tax Category]],Cat_Codes,0))="No",0,tbl_Ledger[[#This Row],[Amount]]*GETFund_Rate)</f>
        <v>842.35</v>
      </c>
      <c r="N29" s="92">
        <f>tbl_Ledger[[#This Row],[Expected VAT]]+tbl_Ledger[[#This Row],[Expected NHIL]]+tbl_Ledger[[#This Row],[Expected GETFund]]</f>
        <v>6738.8</v>
      </c>
      <c r="O29" s="92">
        <f>tbl_Ledger[[#This Row],[Amount]]+tbl_Ledger[[#This Row],[Tax Charged on Invoice]]</f>
        <v>40432.800000000003</v>
      </c>
    </row>
    <row r="30" spans="1:15" x14ac:dyDescent="0.3">
      <c r="A30" s="11"/>
      <c r="B30" s="93">
        <v>23</v>
      </c>
      <c r="C30" s="94">
        <v>46043</v>
      </c>
      <c r="D30" s="95" t="s">
        <v>304</v>
      </c>
      <c r="E30" s="95" t="s">
        <v>253</v>
      </c>
      <c r="F30" s="96" t="s">
        <v>182</v>
      </c>
      <c r="G30" s="96" t="s">
        <v>179</v>
      </c>
      <c r="H30" s="97">
        <v>83262</v>
      </c>
      <c r="I30" s="96" t="s">
        <v>305</v>
      </c>
      <c r="J30" s="97">
        <v>16652.400000000001</v>
      </c>
      <c r="K30" s="92">
        <f>IF(INDEX(Cat_ChargesVAT,MATCH(tbl_Ledger[[#This Row],[Tax Category]],Cat_Codes,0))="No",0,tbl_Ledger[[#This Row],[Amount]]*VAT_Rate)</f>
        <v>12489.3</v>
      </c>
      <c r="L30" s="92">
        <f>IF(INDEX(Cat_ChargesVAT,MATCH(tbl_Ledger[[#This Row],[Tax Category]],Cat_Codes,0))="No",0,tbl_Ledger[[#This Row],[Amount]]*NHIL_Rate)</f>
        <v>2081.5500000000002</v>
      </c>
      <c r="M30" s="92">
        <f>IF(INDEX(Cat_ChargesVAT,MATCH(tbl_Ledger[[#This Row],[Tax Category]],Cat_Codes,0))="No",0,tbl_Ledger[[#This Row],[Amount]]*GETFund_Rate)</f>
        <v>2081.5500000000002</v>
      </c>
      <c r="N30" s="92">
        <f>tbl_Ledger[[#This Row],[Expected VAT]]+tbl_Ledger[[#This Row],[Expected NHIL]]+tbl_Ledger[[#This Row],[Expected GETFund]]</f>
        <v>16652.399999999998</v>
      </c>
      <c r="O30" s="92">
        <f>tbl_Ledger[[#This Row],[Amount]]+tbl_Ledger[[#This Row],[Tax Charged on Invoice]]</f>
        <v>99914.4</v>
      </c>
    </row>
    <row r="31" spans="1:15" x14ac:dyDescent="0.3">
      <c r="A31" s="11"/>
      <c r="B31" s="93">
        <v>24</v>
      </c>
      <c r="C31" s="94">
        <v>46044</v>
      </c>
      <c r="D31" s="95" t="s">
        <v>306</v>
      </c>
      <c r="E31" s="95" t="s">
        <v>307</v>
      </c>
      <c r="F31" s="96" t="s">
        <v>201</v>
      </c>
      <c r="G31" s="96" t="s">
        <v>219</v>
      </c>
      <c r="H31" s="97">
        <v>1882</v>
      </c>
      <c r="I31" s="96" t="s">
        <v>308</v>
      </c>
      <c r="J31" s="97">
        <v>376.4</v>
      </c>
      <c r="K31" s="92">
        <f>IF(INDEX(Cat_ChargesVAT,MATCH(tbl_Ledger[[#This Row],[Tax Category]],Cat_Codes,0))="No",0,tbl_Ledger[[#This Row],[Amount]]*VAT_Rate)</f>
        <v>282.3</v>
      </c>
      <c r="L31" s="92">
        <f>IF(INDEX(Cat_ChargesVAT,MATCH(tbl_Ledger[[#This Row],[Tax Category]],Cat_Codes,0))="No",0,tbl_Ledger[[#This Row],[Amount]]*NHIL_Rate)</f>
        <v>47.050000000000004</v>
      </c>
      <c r="M31" s="92">
        <f>IF(INDEX(Cat_ChargesVAT,MATCH(tbl_Ledger[[#This Row],[Tax Category]],Cat_Codes,0))="No",0,tbl_Ledger[[#This Row],[Amount]]*GETFund_Rate)</f>
        <v>47.050000000000004</v>
      </c>
      <c r="N31" s="92">
        <f>tbl_Ledger[[#This Row],[Expected VAT]]+tbl_Ledger[[#This Row],[Expected NHIL]]+tbl_Ledger[[#This Row],[Expected GETFund]]</f>
        <v>376.40000000000003</v>
      </c>
      <c r="O31" s="92">
        <f>tbl_Ledger[[#This Row],[Amount]]+tbl_Ledger[[#This Row],[Tax Charged on Invoice]]</f>
        <v>2258.4</v>
      </c>
    </row>
    <row r="32" spans="1:15" x14ac:dyDescent="0.3">
      <c r="A32" s="11"/>
      <c r="B32" s="93">
        <v>25</v>
      </c>
      <c r="C32" s="94">
        <v>46044</v>
      </c>
      <c r="D32" s="95" t="s">
        <v>309</v>
      </c>
      <c r="E32" s="95" t="s">
        <v>291</v>
      </c>
      <c r="F32" s="96" t="s">
        <v>201</v>
      </c>
      <c r="G32" s="96" t="s">
        <v>199</v>
      </c>
      <c r="H32" s="97">
        <v>8893</v>
      </c>
      <c r="I32" s="96" t="s">
        <v>310</v>
      </c>
      <c r="J32" s="97">
        <v>1778.6</v>
      </c>
      <c r="K32" s="92">
        <f>IF(INDEX(Cat_ChargesVAT,MATCH(tbl_Ledger[[#This Row],[Tax Category]],Cat_Codes,0))="No",0,tbl_Ledger[[#This Row],[Amount]]*VAT_Rate)</f>
        <v>1333.95</v>
      </c>
      <c r="L32" s="92">
        <f>IF(INDEX(Cat_ChargesVAT,MATCH(tbl_Ledger[[#This Row],[Tax Category]],Cat_Codes,0))="No",0,tbl_Ledger[[#This Row],[Amount]]*NHIL_Rate)</f>
        <v>222.32500000000002</v>
      </c>
      <c r="M32" s="92">
        <f>IF(INDEX(Cat_ChargesVAT,MATCH(tbl_Ledger[[#This Row],[Tax Category]],Cat_Codes,0))="No",0,tbl_Ledger[[#This Row],[Amount]]*GETFund_Rate)</f>
        <v>222.32500000000002</v>
      </c>
      <c r="N32" s="92">
        <f>tbl_Ledger[[#This Row],[Expected VAT]]+tbl_Ledger[[#This Row],[Expected NHIL]]+tbl_Ledger[[#This Row],[Expected GETFund]]</f>
        <v>1778.6000000000001</v>
      </c>
      <c r="O32" s="92">
        <f>tbl_Ledger[[#This Row],[Amount]]+tbl_Ledger[[#This Row],[Tax Charged on Invoice]]</f>
        <v>10671.6</v>
      </c>
    </row>
    <row r="33" spans="1:15" x14ac:dyDescent="0.3">
      <c r="A33" s="11"/>
      <c r="B33" s="93">
        <v>26</v>
      </c>
      <c r="C33" s="94">
        <v>46044</v>
      </c>
      <c r="D33" s="95" t="s">
        <v>255</v>
      </c>
      <c r="E33" s="95" t="s">
        <v>291</v>
      </c>
      <c r="F33" s="96" t="s">
        <v>201</v>
      </c>
      <c r="G33" s="96" t="s">
        <v>199</v>
      </c>
      <c r="H33" s="97">
        <v>1062</v>
      </c>
      <c r="I33" s="96" t="s">
        <v>311</v>
      </c>
      <c r="J33" s="97">
        <v>212.4</v>
      </c>
      <c r="K33" s="92">
        <f>IF(INDEX(Cat_ChargesVAT,MATCH(tbl_Ledger[[#This Row],[Tax Category]],Cat_Codes,0))="No",0,tbl_Ledger[[#This Row],[Amount]]*VAT_Rate)</f>
        <v>159.29999999999998</v>
      </c>
      <c r="L33" s="92">
        <f>IF(INDEX(Cat_ChargesVAT,MATCH(tbl_Ledger[[#This Row],[Tax Category]],Cat_Codes,0))="No",0,tbl_Ledger[[#This Row],[Amount]]*NHIL_Rate)</f>
        <v>26.55</v>
      </c>
      <c r="M33" s="92">
        <f>IF(INDEX(Cat_ChargesVAT,MATCH(tbl_Ledger[[#This Row],[Tax Category]],Cat_Codes,0))="No",0,tbl_Ledger[[#This Row],[Amount]]*GETFund_Rate)</f>
        <v>26.55</v>
      </c>
      <c r="N33" s="92">
        <f>tbl_Ledger[[#This Row],[Expected VAT]]+tbl_Ledger[[#This Row],[Expected NHIL]]+tbl_Ledger[[#This Row],[Expected GETFund]]</f>
        <v>212.4</v>
      </c>
      <c r="O33" s="92">
        <f>tbl_Ledger[[#This Row],[Amount]]+tbl_Ledger[[#This Row],[Tax Charged on Invoice]]</f>
        <v>1274.4000000000001</v>
      </c>
    </row>
    <row r="34" spans="1:15" x14ac:dyDescent="0.3">
      <c r="A34" s="11"/>
      <c r="B34" s="93">
        <v>27</v>
      </c>
      <c r="C34" s="94">
        <v>46044</v>
      </c>
      <c r="D34" s="95" t="s">
        <v>312</v>
      </c>
      <c r="E34" s="95" t="s">
        <v>313</v>
      </c>
      <c r="F34" s="96" t="s">
        <v>182</v>
      </c>
      <c r="G34" s="96" t="s">
        <v>187</v>
      </c>
      <c r="H34" s="97">
        <v>67166</v>
      </c>
      <c r="I34" s="96" t="s">
        <v>314</v>
      </c>
      <c r="J34" s="97">
        <v>13433.2</v>
      </c>
      <c r="K34" s="92">
        <f>IF(INDEX(Cat_ChargesVAT,MATCH(tbl_Ledger[[#This Row],[Tax Category]],Cat_Codes,0))="No",0,tbl_Ledger[[#This Row],[Amount]]*VAT_Rate)</f>
        <v>10074.9</v>
      </c>
      <c r="L34" s="92">
        <f>IF(INDEX(Cat_ChargesVAT,MATCH(tbl_Ledger[[#This Row],[Tax Category]],Cat_Codes,0))="No",0,tbl_Ledger[[#This Row],[Amount]]*NHIL_Rate)</f>
        <v>1679.15</v>
      </c>
      <c r="M34" s="92">
        <f>IF(INDEX(Cat_ChargesVAT,MATCH(tbl_Ledger[[#This Row],[Tax Category]],Cat_Codes,0))="No",0,tbl_Ledger[[#This Row],[Amount]]*GETFund_Rate)</f>
        <v>1679.15</v>
      </c>
      <c r="N34" s="92">
        <f>tbl_Ledger[[#This Row],[Expected VAT]]+tbl_Ledger[[#This Row],[Expected NHIL]]+tbl_Ledger[[#This Row],[Expected GETFund]]</f>
        <v>13433.199999999999</v>
      </c>
      <c r="O34" s="92">
        <f>tbl_Ledger[[#This Row],[Amount]]+tbl_Ledger[[#This Row],[Tax Charged on Invoice]]</f>
        <v>80599.199999999997</v>
      </c>
    </row>
    <row r="35" spans="1:15" x14ac:dyDescent="0.3">
      <c r="A35" s="11"/>
      <c r="B35" s="93">
        <v>28</v>
      </c>
      <c r="C35" s="94">
        <v>46045</v>
      </c>
      <c r="D35" s="95" t="s">
        <v>315</v>
      </c>
      <c r="E35" s="95" t="s">
        <v>275</v>
      </c>
      <c r="F35" s="96" t="s">
        <v>201</v>
      </c>
      <c r="G35" s="96" t="s">
        <v>212</v>
      </c>
      <c r="H35" s="97">
        <v>54919</v>
      </c>
      <c r="I35" s="96" t="s">
        <v>316</v>
      </c>
      <c r="J35" s="97">
        <v>0</v>
      </c>
      <c r="K35" s="92">
        <f>IF(INDEX(Cat_ChargesVAT,MATCH(tbl_Ledger[[#This Row],[Tax Category]],Cat_Codes,0))="No",0,tbl_Ledger[[#This Row],[Amount]]*VAT_Rate)</f>
        <v>0</v>
      </c>
      <c r="L35" s="92">
        <f>IF(INDEX(Cat_ChargesVAT,MATCH(tbl_Ledger[[#This Row],[Tax Category]],Cat_Codes,0))="No",0,tbl_Ledger[[#This Row],[Amount]]*NHIL_Rate)</f>
        <v>0</v>
      </c>
      <c r="M35" s="92">
        <f>IF(INDEX(Cat_ChargesVAT,MATCH(tbl_Ledger[[#This Row],[Tax Category]],Cat_Codes,0))="No",0,tbl_Ledger[[#This Row],[Amount]]*GETFund_Rate)</f>
        <v>0</v>
      </c>
      <c r="N35" s="92">
        <f>tbl_Ledger[[#This Row],[Expected VAT]]+tbl_Ledger[[#This Row],[Expected NHIL]]+tbl_Ledger[[#This Row],[Expected GETFund]]</f>
        <v>0</v>
      </c>
      <c r="O35" s="92">
        <f>tbl_Ledger[[#This Row],[Amount]]+tbl_Ledger[[#This Row],[Tax Charged on Invoice]]</f>
        <v>54919</v>
      </c>
    </row>
    <row r="36" spans="1:15" x14ac:dyDescent="0.3">
      <c r="A36" s="11"/>
      <c r="B36" s="93">
        <v>29</v>
      </c>
      <c r="C36" s="94">
        <v>46046</v>
      </c>
      <c r="D36" s="95" t="s">
        <v>317</v>
      </c>
      <c r="E36" s="95" t="s">
        <v>318</v>
      </c>
      <c r="F36" s="96" t="s">
        <v>201</v>
      </c>
      <c r="G36" s="96" t="s">
        <v>205</v>
      </c>
      <c r="H36" s="97">
        <v>2667</v>
      </c>
      <c r="I36" s="96" t="s">
        <v>319</v>
      </c>
      <c r="J36" s="97">
        <v>0</v>
      </c>
      <c r="K36" s="92">
        <f>IF(INDEX(Cat_ChargesVAT,MATCH(tbl_Ledger[[#This Row],[Tax Category]],Cat_Codes,0))="No",0,tbl_Ledger[[#This Row],[Amount]]*VAT_Rate)</f>
        <v>0</v>
      </c>
      <c r="L36" s="92">
        <f>IF(INDEX(Cat_ChargesVAT,MATCH(tbl_Ledger[[#This Row],[Tax Category]],Cat_Codes,0))="No",0,tbl_Ledger[[#This Row],[Amount]]*NHIL_Rate)</f>
        <v>0</v>
      </c>
      <c r="M36" s="92">
        <f>IF(INDEX(Cat_ChargesVAT,MATCH(tbl_Ledger[[#This Row],[Tax Category]],Cat_Codes,0))="No",0,tbl_Ledger[[#This Row],[Amount]]*GETFund_Rate)</f>
        <v>0</v>
      </c>
      <c r="N36" s="92">
        <f>tbl_Ledger[[#This Row],[Expected VAT]]+tbl_Ledger[[#This Row],[Expected NHIL]]+tbl_Ledger[[#This Row],[Expected GETFund]]</f>
        <v>0</v>
      </c>
      <c r="O36" s="92">
        <f>tbl_Ledger[[#This Row],[Amount]]+tbl_Ledger[[#This Row],[Tax Charged on Invoice]]</f>
        <v>2667</v>
      </c>
    </row>
    <row r="37" spans="1:15" x14ac:dyDescent="0.3">
      <c r="A37" s="11"/>
      <c r="B37" s="93">
        <v>30</v>
      </c>
      <c r="C37" s="94">
        <v>46046</v>
      </c>
      <c r="D37" s="95" t="s">
        <v>320</v>
      </c>
      <c r="E37" s="95" t="s">
        <v>291</v>
      </c>
      <c r="F37" s="96" t="s">
        <v>201</v>
      </c>
      <c r="G37" s="96" t="s">
        <v>199</v>
      </c>
      <c r="H37" s="97">
        <v>26991</v>
      </c>
      <c r="I37" s="96" t="s">
        <v>321</v>
      </c>
      <c r="J37" s="97">
        <v>5398.2</v>
      </c>
      <c r="K37" s="92">
        <f>IF(INDEX(Cat_ChargesVAT,MATCH(tbl_Ledger[[#This Row],[Tax Category]],Cat_Codes,0))="No",0,tbl_Ledger[[#This Row],[Amount]]*VAT_Rate)</f>
        <v>4048.6499999999996</v>
      </c>
      <c r="L37" s="92">
        <f>IF(INDEX(Cat_ChargesVAT,MATCH(tbl_Ledger[[#This Row],[Tax Category]],Cat_Codes,0))="No",0,tbl_Ledger[[#This Row],[Amount]]*NHIL_Rate)</f>
        <v>674.77500000000009</v>
      </c>
      <c r="M37" s="92">
        <f>IF(INDEX(Cat_ChargesVAT,MATCH(tbl_Ledger[[#This Row],[Tax Category]],Cat_Codes,0))="No",0,tbl_Ledger[[#This Row],[Amount]]*GETFund_Rate)</f>
        <v>674.77500000000009</v>
      </c>
      <c r="N37" s="92">
        <f>tbl_Ledger[[#This Row],[Expected VAT]]+tbl_Ledger[[#This Row],[Expected NHIL]]+tbl_Ledger[[#This Row],[Expected GETFund]]</f>
        <v>5398.1999999999989</v>
      </c>
      <c r="O37" s="92">
        <f>tbl_Ledger[[#This Row],[Amount]]+tbl_Ledger[[#This Row],[Tax Charged on Invoice]]</f>
        <v>32389.200000000001</v>
      </c>
    </row>
    <row r="38" spans="1:15" x14ac:dyDescent="0.3">
      <c r="A38" s="11"/>
      <c r="B38" s="93">
        <v>31</v>
      </c>
      <c r="C38" s="94">
        <v>46046</v>
      </c>
      <c r="D38" s="95" t="s">
        <v>290</v>
      </c>
      <c r="E38" s="95" t="s">
        <v>322</v>
      </c>
      <c r="F38" s="96" t="s">
        <v>201</v>
      </c>
      <c r="G38" s="96" t="s">
        <v>199</v>
      </c>
      <c r="H38" s="97">
        <v>4305</v>
      </c>
      <c r="I38" s="96" t="s">
        <v>323</v>
      </c>
      <c r="J38" s="97">
        <v>861</v>
      </c>
      <c r="K38" s="92">
        <f>IF(INDEX(Cat_ChargesVAT,MATCH(tbl_Ledger[[#This Row],[Tax Category]],Cat_Codes,0))="No",0,tbl_Ledger[[#This Row],[Amount]]*VAT_Rate)</f>
        <v>645.75</v>
      </c>
      <c r="L38" s="92">
        <f>IF(INDEX(Cat_ChargesVAT,MATCH(tbl_Ledger[[#This Row],[Tax Category]],Cat_Codes,0))="No",0,tbl_Ledger[[#This Row],[Amount]]*NHIL_Rate)</f>
        <v>107.625</v>
      </c>
      <c r="M38" s="92">
        <f>IF(INDEX(Cat_ChargesVAT,MATCH(tbl_Ledger[[#This Row],[Tax Category]],Cat_Codes,0))="No",0,tbl_Ledger[[#This Row],[Amount]]*GETFund_Rate)</f>
        <v>107.625</v>
      </c>
      <c r="N38" s="92">
        <f>tbl_Ledger[[#This Row],[Expected VAT]]+tbl_Ledger[[#This Row],[Expected NHIL]]+tbl_Ledger[[#This Row],[Expected GETFund]]</f>
        <v>861</v>
      </c>
      <c r="O38" s="92">
        <f>tbl_Ledger[[#This Row],[Amount]]+tbl_Ledger[[#This Row],[Tax Charged on Invoice]]</f>
        <v>5166</v>
      </c>
    </row>
    <row r="39" spans="1:15" x14ac:dyDescent="0.3">
      <c r="A39" s="11"/>
      <c r="B39" s="93">
        <v>32</v>
      </c>
      <c r="C39" s="94">
        <v>46046</v>
      </c>
      <c r="D39" s="95" t="s">
        <v>260</v>
      </c>
      <c r="E39" s="95" t="s">
        <v>253</v>
      </c>
      <c r="F39" s="96" t="s">
        <v>182</v>
      </c>
      <c r="G39" s="96" t="s">
        <v>179</v>
      </c>
      <c r="H39" s="97">
        <v>68240</v>
      </c>
      <c r="I39" s="96" t="s">
        <v>324</v>
      </c>
      <c r="J39" s="97">
        <v>13648</v>
      </c>
      <c r="K39" s="92">
        <f>IF(INDEX(Cat_ChargesVAT,MATCH(tbl_Ledger[[#This Row],[Tax Category]],Cat_Codes,0))="No",0,tbl_Ledger[[#This Row],[Amount]]*VAT_Rate)</f>
        <v>10236</v>
      </c>
      <c r="L39" s="92">
        <f>IF(INDEX(Cat_ChargesVAT,MATCH(tbl_Ledger[[#This Row],[Tax Category]],Cat_Codes,0))="No",0,tbl_Ledger[[#This Row],[Amount]]*NHIL_Rate)</f>
        <v>1706</v>
      </c>
      <c r="M39" s="92">
        <f>IF(INDEX(Cat_ChargesVAT,MATCH(tbl_Ledger[[#This Row],[Tax Category]],Cat_Codes,0))="No",0,tbl_Ledger[[#This Row],[Amount]]*GETFund_Rate)</f>
        <v>1706</v>
      </c>
      <c r="N39" s="92">
        <f>tbl_Ledger[[#This Row],[Expected VAT]]+tbl_Ledger[[#This Row],[Expected NHIL]]+tbl_Ledger[[#This Row],[Expected GETFund]]</f>
        <v>13648</v>
      </c>
      <c r="O39" s="92">
        <f>tbl_Ledger[[#This Row],[Amount]]+tbl_Ledger[[#This Row],[Tax Charged on Invoice]]</f>
        <v>81888</v>
      </c>
    </row>
    <row r="40" spans="1:15" x14ac:dyDescent="0.3">
      <c r="A40" s="11"/>
      <c r="B40" s="93">
        <v>33</v>
      </c>
      <c r="C40" s="94">
        <v>46047</v>
      </c>
      <c r="D40" s="95" t="s">
        <v>325</v>
      </c>
      <c r="E40" s="95" t="s">
        <v>313</v>
      </c>
      <c r="F40" s="96" t="s">
        <v>182</v>
      </c>
      <c r="G40" s="96" t="s">
        <v>179</v>
      </c>
      <c r="H40" s="97">
        <v>57166</v>
      </c>
      <c r="I40" s="96" t="s">
        <v>326</v>
      </c>
      <c r="J40" s="97">
        <v>11433.2</v>
      </c>
      <c r="K40" s="92">
        <f>IF(INDEX(Cat_ChargesVAT,MATCH(tbl_Ledger[[#This Row],[Tax Category]],Cat_Codes,0))="No",0,tbl_Ledger[[#This Row],[Amount]]*VAT_Rate)</f>
        <v>8574.9</v>
      </c>
      <c r="L40" s="92">
        <f>IF(INDEX(Cat_ChargesVAT,MATCH(tbl_Ledger[[#This Row],[Tax Category]],Cat_Codes,0))="No",0,tbl_Ledger[[#This Row],[Amount]]*NHIL_Rate)</f>
        <v>1429.15</v>
      </c>
      <c r="M40" s="92">
        <f>IF(INDEX(Cat_ChargesVAT,MATCH(tbl_Ledger[[#This Row],[Tax Category]],Cat_Codes,0))="No",0,tbl_Ledger[[#This Row],[Amount]]*GETFund_Rate)</f>
        <v>1429.15</v>
      </c>
      <c r="N40" s="92">
        <f>tbl_Ledger[[#This Row],[Expected VAT]]+tbl_Ledger[[#This Row],[Expected NHIL]]+tbl_Ledger[[#This Row],[Expected GETFund]]</f>
        <v>11433.199999999999</v>
      </c>
      <c r="O40" s="92">
        <f>tbl_Ledger[[#This Row],[Amount]]+tbl_Ledger[[#This Row],[Tax Charged on Invoice]]</f>
        <v>68599.199999999997</v>
      </c>
    </row>
    <row r="41" spans="1:15" x14ac:dyDescent="0.3">
      <c r="A41" s="11"/>
      <c r="B41" s="93">
        <v>34</v>
      </c>
      <c r="C41" s="94">
        <v>46048</v>
      </c>
      <c r="D41" s="95" t="s">
        <v>327</v>
      </c>
      <c r="E41" s="95" t="s">
        <v>268</v>
      </c>
      <c r="F41" s="96" t="s">
        <v>201</v>
      </c>
      <c r="G41" s="96" t="s">
        <v>205</v>
      </c>
      <c r="H41" s="97">
        <v>56621</v>
      </c>
      <c r="I41" s="96" t="s">
        <v>328</v>
      </c>
      <c r="J41" s="97">
        <v>0</v>
      </c>
      <c r="K41" s="92">
        <f>IF(INDEX(Cat_ChargesVAT,MATCH(tbl_Ledger[[#This Row],[Tax Category]],Cat_Codes,0))="No",0,tbl_Ledger[[#This Row],[Amount]]*VAT_Rate)</f>
        <v>0</v>
      </c>
      <c r="L41" s="92">
        <f>IF(INDEX(Cat_ChargesVAT,MATCH(tbl_Ledger[[#This Row],[Tax Category]],Cat_Codes,0))="No",0,tbl_Ledger[[#This Row],[Amount]]*NHIL_Rate)</f>
        <v>0</v>
      </c>
      <c r="M41" s="92">
        <f>IF(INDEX(Cat_ChargesVAT,MATCH(tbl_Ledger[[#This Row],[Tax Category]],Cat_Codes,0))="No",0,tbl_Ledger[[#This Row],[Amount]]*GETFund_Rate)</f>
        <v>0</v>
      </c>
      <c r="N41" s="92">
        <f>tbl_Ledger[[#This Row],[Expected VAT]]+tbl_Ledger[[#This Row],[Expected NHIL]]+tbl_Ledger[[#This Row],[Expected GETFund]]</f>
        <v>0</v>
      </c>
      <c r="O41" s="92">
        <f>tbl_Ledger[[#This Row],[Amount]]+tbl_Ledger[[#This Row],[Tax Charged on Invoice]]</f>
        <v>56621</v>
      </c>
    </row>
    <row r="42" spans="1:15" x14ac:dyDescent="0.3">
      <c r="A42" s="11"/>
      <c r="B42" s="93">
        <v>35</v>
      </c>
      <c r="C42" s="94">
        <v>46050</v>
      </c>
      <c r="D42" s="95" t="s">
        <v>329</v>
      </c>
      <c r="E42" s="95" t="s">
        <v>330</v>
      </c>
      <c r="F42" s="96" t="s">
        <v>201</v>
      </c>
      <c r="G42" s="96" t="s">
        <v>205</v>
      </c>
      <c r="H42" s="97">
        <v>23442</v>
      </c>
      <c r="I42" s="96" t="s">
        <v>331</v>
      </c>
      <c r="J42" s="97">
        <v>0</v>
      </c>
      <c r="K42" s="92">
        <f>IF(INDEX(Cat_ChargesVAT,MATCH(tbl_Ledger[[#This Row],[Tax Category]],Cat_Codes,0))="No",0,tbl_Ledger[[#This Row],[Amount]]*VAT_Rate)</f>
        <v>0</v>
      </c>
      <c r="L42" s="92">
        <f>IF(INDEX(Cat_ChargesVAT,MATCH(tbl_Ledger[[#This Row],[Tax Category]],Cat_Codes,0))="No",0,tbl_Ledger[[#This Row],[Amount]]*NHIL_Rate)</f>
        <v>0</v>
      </c>
      <c r="M42" s="92">
        <f>IF(INDEX(Cat_ChargesVAT,MATCH(tbl_Ledger[[#This Row],[Tax Category]],Cat_Codes,0))="No",0,tbl_Ledger[[#This Row],[Amount]]*GETFund_Rate)</f>
        <v>0</v>
      </c>
      <c r="N42" s="92">
        <f>tbl_Ledger[[#This Row],[Expected VAT]]+tbl_Ledger[[#This Row],[Expected NHIL]]+tbl_Ledger[[#This Row],[Expected GETFund]]</f>
        <v>0</v>
      </c>
      <c r="O42" s="92">
        <f>tbl_Ledger[[#This Row],[Amount]]+tbl_Ledger[[#This Row],[Tax Charged on Invoice]]</f>
        <v>23442</v>
      </c>
    </row>
    <row r="43" spans="1:15" x14ac:dyDescent="0.3">
      <c r="A43" s="11"/>
      <c r="B43" s="93">
        <v>36</v>
      </c>
      <c r="C43" s="94">
        <v>46050</v>
      </c>
      <c r="D43" s="95" t="s">
        <v>332</v>
      </c>
      <c r="E43" s="95" t="s">
        <v>253</v>
      </c>
      <c r="F43" s="96" t="s">
        <v>182</v>
      </c>
      <c r="G43" s="96" t="s">
        <v>179</v>
      </c>
      <c r="H43" s="97">
        <v>27978</v>
      </c>
      <c r="I43" s="96" t="s">
        <v>333</v>
      </c>
      <c r="J43" s="97">
        <v>5595.6</v>
      </c>
      <c r="K43" s="92">
        <f>IF(INDEX(Cat_ChargesVAT,MATCH(tbl_Ledger[[#This Row],[Tax Category]],Cat_Codes,0))="No",0,tbl_Ledger[[#This Row],[Amount]]*VAT_Rate)</f>
        <v>4196.7</v>
      </c>
      <c r="L43" s="92">
        <f>IF(INDEX(Cat_ChargesVAT,MATCH(tbl_Ledger[[#This Row],[Tax Category]],Cat_Codes,0))="No",0,tbl_Ledger[[#This Row],[Amount]]*NHIL_Rate)</f>
        <v>699.45</v>
      </c>
      <c r="M43" s="92">
        <f>IF(INDEX(Cat_ChargesVAT,MATCH(tbl_Ledger[[#This Row],[Tax Category]],Cat_Codes,0))="No",0,tbl_Ledger[[#This Row],[Amount]]*GETFund_Rate)</f>
        <v>699.45</v>
      </c>
      <c r="N43" s="92">
        <f>tbl_Ledger[[#This Row],[Expected VAT]]+tbl_Ledger[[#This Row],[Expected NHIL]]+tbl_Ledger[[#This Row],[Expected GETFund]]</f>
        <v>5595.5999999999995</v>
      </c>
      <c r="O43" s="92">
        <f>tbl_Ledger[[#This Row],[Amount]]+tbl_Ledger[[#This Row],[Tax Charged on Invoice]]</f>
        <v>33573.599999999999</v>
      </c>
    </row>
    <row r="44" spans="1:15" x14ac:dyDescent="0.3">
      <c r="A44" s="11"/>
      <c r="B44" s="93">
        <v>37</v>
      </c>
      <c r="C44" s="94">
        <v>46050</v>
      </c>
      <c r="D44" s="95" t="s">
        <v>334</v>
      </c>
      <c r="E44" s="95" t="s">
        <v>313</v>
      </c>
      <c r="F44" s="96" t="s">
        <v>182</v>
      </c>
      <c r="G44" s="96" t="s">
        <v>187</v>
      </c>
      <c r="H44" s="97">
        <v>41808</v>
      </c>
      <c r="I44" s="96" t="s">
        <v>335</v>
      </c>
      <c r="J44" s="97">
        <v>8361.6</v>
      </c>
      <c r="K44" s="92">
        <f>IF(INDEX(Cat_ChargesVAT,MATCH(tbl_Ledger[[#This Row],[Tax Category]],Cat_Codes,0))="No",0,tbl_Ledger[[#This Row],[Amount]]*VAT_Rate)</f>
        <v>6271.2</v>
      </c>
      <c r="L44" s="92">
        <f>IF(INDEX(Cat_ChargesVAT,MATCH(tbl_Ledger[[#This Row],[Tax Category]],Cat_Codes,0))="No",0,tbl_Ledger[[#This Row],[Amount]]*NHIL_Rate)</f>
        <v>1045.2</v>
      </c>
      <c r="M44" s="92">
        <f>IF(INDEX(Cat_ChargesVAT,MATCH(tbl_Ledger[[#This Row],[Tax Category]],Cat_Codes,0))="No",0,tbl_Ledger[[#This Row],[Amount]]*GETFund_Rate)</f>
        <v>1045.2</v>
      </c>
      <c r="N44" s="92">
        <f>tbl_Ledger[[#This Row],[Expected VAT]]+tbl_Ledger[[#This Row],[Expected NHIL]]+tbl_Ledger[[#This Row],[Expected GETFund]]</f>
        <v>8361.6</v>
      </c>
      <c r="O44" s="92">
        <f>tbl_Ledger[[#This Row],[Amount]]+tbl_Ledger[[#This Row],[Tax Charged on Invoice]]</f>
        <v>50169.599999999999</v>
      </c>
    </row>
    <row r="45" spans="1:15" x14ac:dyDescent="0.3">
      <c r="A45" s="11"/>
      <c r="B45" s="93">
        <v>38</v>
      </c>
      <c r="C45" s="94">
        <v>46051</v>
      </c>
      <c r="D45" s="95" t="s">
        <v>336</v>
      </c>
      <c r="E45" s="95" t="s">
        <v>313</v>
      </c>
      <c r="F45" s="96" t="s">
        <v>182</v>
      </c>
      <c r="G45" s="96" t="s">
        <v>179</v>
      </c>
      <c r="H45" s="97">
        <v>61336</v>
      </c>
      <c r="I45" s="96" t="s">
        <v>337</v>
      </c>
      <c r="J45" s="97">
        <v>12267.2</v>
      </c>
      <c r="K45" s="92">
        <f>IF(INDEX(Cat_ChargesVAT,MATCH(tbl_Ledger[[#This Row],[Tax Category]],Cat_Codes,0))="No",0,tbl_Ledger[[#This Row],[Amount]]*VAT_Rate)</f>
        <v>9200.4</v>
      </c>
      <c r="L45" s="92">
        <f>IF(INDEX(Cat_ChargesVAT,MATCH(tbl_Ledger[[#This Row],[Tax Category]],Cat_Codes,0))="No",0,tbl_Ledger[[#This Row],[Amount]]*NHIL_Rate)</f>
        <v>1533.4</v>
      </c>
      <c r="M45" s="92">
        <f>IF(INDEX(Cat_ChargesVAT,MATCH(tbl_Ledger[[#This Row],[Tax Category]],Cat_Codes,0))="No",0,tbl_Ledger[[#This Row],[Amount]]*GETFund_Rate)</f>
        <v>1533.4</v>
      </c>
      <c r="N45" s="92">
        <f>tbl_Ledger[[#This Row],[Expected VAT]]+tbl_Ledger[[#This Row],[Expected NHIL]]+tbl_Ledger[[#This Row],[Expected GETFund]]</f>
        <v>12267.199999999999</v>
      </c>
      <c r="O45" s="92">
        <f>tbl_Ledger[[#This Row],[Amount]]+tbl_Ledger[[#This Row],[Tax Charged on Invoice]]</f>
        <v>73603.199999999997</v>
      </c>
    </row>
    <row r="46" spans="1:15" x14ac:dyDescent="0.3">
      <c r="A46" s="11"/>
      <c r="B46" s="93">
        <v>39</v>
      </c>
      <c r="C46" s="94">
        <v>46052</v>
      </c>
      <c r="D46" s="95" t="s">
        <v>338</v>
      </c>
      <c r="E46" s="95" t="s">
        <v>278</v>
      </c>
      <c r="F46" s="96" t="s">
        <v>201</v>
      </c>
      <c r="G46" s="96" t="s">
        <v>205</v>
      </c>
      <c r="H46" s="97">
        <v>3323</v>
      </c>
      <c r="I46" s="96" t="s">
        <v>339</v>
      </c>
      <c r="J46" s="97">
        <v>0</v>
      </c>
      <c r="K46" s="92">
        <f>IF(INDEX(Cat_ChargesVAT,MATCH(tbl_Ledger[[#This Row],[Tax Category]],Cat_Codes,0))="No",0,tbl_Ledger[[#This Row],[Amount]]*VAT_Rate)</f>
        <v>0</v>
      </c>
      <c r="L46" s="92">
        <f>IF(INDEX(Cat_ChargesVAT,MATCH(tbl_Ledger[[#This Row],[Tax Category]],Cat_Codes,0))="No",0,tbl_Ledger[[#This Row],[Amount]]*NHIL_Rate)</f>
        <v>0</v>
      </c>
      <c r="M46" s="92">
        <f>IF(INDEX(Cat_ChargesVAT,MATCH(tbl_Ledger[[#This Row],[Tax Category]],Cat_Codes,0))="No",0,tbl_Ledger[[#This Row],[Amount]]*GETFund_Rate)</f>
        <v>0</v>
      </c>
      <c r="N46" s="92">
        <f>tbl_Ledger[[#This Row],[Expected VAT]]+tbl_Ledger[[#This Row],[Expected NHIL]]+tbl_Ledger[[#This Row],[Expected GETFund]]</f>
        <v>0</v>
      </c>
      <c r="O46" s="92">
        <f>tbl_Ledger[[#This Row],[Amount]]+tbl_Ledger[[#This Row],[Tax Charged on Invoice]]</f>
        <v>3323</v>
      </c>
    </row>
    <row r="47" spans="1:15" x14ac:dyDescent="0.3">
      <c r="A47" s="11"/>
      <c r="B47" s="93">
        <v>40</v>
      </c>
      <c r="C47" s="94">
        <v>46052</v>
      </c>
      <c r="D47" s="95" t="s">
        <v>340</v>
      </c>
      <c r="E47" s="95" t="s">
        <v>313</v>
      </c>
      <c r="F47" s="96" t="s">
        <v>182</v>
      </c>
      <c r="G47" s="96" t="s">
        <v>179</v>
      </c>
      <c r="H47" s="97">
        <v>74933</v>
      </c>
      <c r="I47" s="96" t="s">
        <v>341</v>
      </c>
      <c r="J47" s="97">
        <v>14986.6</v>
      </c>
      <c r="K47" s="92">
        <f>IF(INDEX(Cat_ChargesVAT,MATCH(tbl_Ledger[[#This Row],[Tax Category]],Cat_Codes,0))="No",0,tbl_Ledger[[#This Row],[Amount]]*VAT_Rate)</f>
        <v>11239.949999999999</v>
      </c>
      <c r="L47" s="92">
        <f>IF(INDEX(Cat_ChargesVAT,MATCH(tbl_Ledger[[#This Row],[Tax Category]],Cat_Codes,0))="No",0,tbl_Ledger[[#This Row],[Amount]]*NHIL_Rate)</f>
        <v>1873.325</v>
      </c>
      <c r="M47" s="92">
        <f>IF(INDEX(Cat_ChargesVAT,MATCH(tbl_Ledger[[#This Row],[Tax Category]],Cat_Codes,0))="No",0,tbl_Ledger[[#This Row],[Amount]]*GETFund_Rate)</f>
        <v>1873.325</v>
      </c>
      <c r="N47" s="92">
        <f>tbl_Ledger[[#This Row],[Expected VAT]]+tbl_Ledger[[#This Row],[Expected NHIL]]+tbl_Ledger[[#This Row],[Expected GETFund]]</f>
        <v>14986.6</v>
      </c>
      <c r="O47" s="92">
        <f>tbl_Ledger[[#This Row],[Amount]]+tbl_Ledger[[#This Row],[Tax Charged on Invoice]]</f>
        <v>89919.6</v>
      </c>
    </row>
    <row r="48" spans="1:15" x14ac:dyDescent="0.3">
      <c r="A48" s="11"/>
      <c r="B48" s="93">
        <v>41</v>
      </c>
      <c r="C48" s="94">
        <v>46053</v>
      </c>
      <c r="D48" s="95" t="s">
        <v>342</v>
      </c>
      <c r="E48" s="95" t="s">
        <v>256</v>
      </c>
      <c r="F48" s="96" t="s">
        <v>201</v>
      </c>
      <c r="G48" s="96" t="s">
        <v>199</v>
      </c>
      <c r="H48" s="97">
        <v>5107</v>
      </c>
      <c r="I48" s="96" t="s">
        <v>343</v>
      </c>
      <c r="J48" s="97">
        <v>1021.4</v>
      </c>
      <c r="K48" s="92">
        <f>IF(INDEX(Cat_ChargesVAT,MATCH(tbl_Ledger[[#This Row],[Tax Category]],Cat_Codes,0))="No",0,tbl_Ledger[[#This Row],[Amount]]*VAT_Rate)</f>
        <v>766.05</v>
      </c>
      <c r="L48" s="92">
        <f>IF(INDEX(Cat_ChargesVAT,MATCH(tbl_Ledger[[#This Row],[Tax Category]],Cat_Codes,0))="No",0,tbl_Ledger[[#This Row],[Amount]]*NHIL_Rate)</f>
        <v>127.67500000000001</v>
      </c>
      <c r="M48" s="92">
        <f>IF(INDEX(Cat_ChargesVAT,MATCH(tbl_Ledger[[#This Row],[Tax Category]],Cat_Codes,0))="No",0,tbl_Ledger[[#This Row],[Amount]]*GETFund_Rate)</f>
        <v>127.67500000000001</v>
      </c>
      <c r="N48" s="92">
        <f>tbl_Ledger[[#This Row],[Expected VAT]]+tbl_Ledger[[#This Row],[Expected NHIL]]+tbl_Ledger[[#This Row],[Expected GETFund]]</f>
        <v>1021.3999999999999</v>
      </c>
      <c r="O48" s="92">
        <f>tbl_Ledger[[#This Row],[Amount]]+tbl_Ledger[[#This Row],[Tax Charged on Invoice]]</f>
        <v>6128.4</v>
      </c>
    </row>
    <row r="49" spans="1:15" x14ac:dyDescent="0.3">
      <c r="A49" s="11"/>
      <c r="B49" s="93">
        <v>42</v>
      </c>
      <c r="C49" s="94">
        <v>46053</v>
      </c>
      <c r="D49" s="95" t="s">
        <v>344</v>
      </c>
      <c r="E49" s="95" t="s">
        <v>345</v>
      </c>
      <c r="F49" s="96" t="s">
        <v>201</v>
      </c>
      <c r="G49" s="96" t="s">
        <v>212</v>
      </c>
      <c r="H49" s="97">
        <v>122089</v>
      </c>
      <c r="I49" s="96" t="s">
        <v>346</v>
      </c>
      <c r="J49" s="97">
        <v>0</v>
      </c>
      <c r="K49" s="92">
        <f>IF(INDEX(Cat_ChargesVAT,MATCH(tbl_Ledger[[#This Row],[Tax Category]],Cat_Codes,0))="No",0,tbl_Ledger[[#This Row],[Amount]]*VAT_Rate)</f>
        <v>0</v>
      </c>
      <c r="L49" s="92">
        <f>IF(INDEX(Cat_ChargesVAT,MATCH(tbl_Ledger[[#This Row],[Tax Category]],Cat_Codes,0))="No",0,tbl_Ledger[[#This Row],[Amount]]*NHIL_Rate)</f>
        <v>0</v>
      </c>
      <c r="M49" s="92">
        <f>IF(INDEX(Cat_ChargesVAT,MATCH(tbl_Ledger[[#This Row],[Tax Category]],Cat_Codes,0))="No",0,tbl_Ledger[[#This Row],[Amount]]*GETFund_Rate)</f>
        <v>0</v>
      </c>
      <c r="N49" s="92">
        <f>tbl_Ledger[[#This Row],[Expected VAT]]+tbl_Ledger[[#This Row],[Expected NHIL]]+tbl_Ledger[[#This Row],[Expected GETFund]]</f>
        <v>0</v>
      </c>
      <c r="O49" s="92">
        <f>tbl_Ledger[[#This Row],[Amount]]+tbl_Ledger[[#This Row],[Tax Charged on Invoice]]</f>
        <v>122089</v>
      </c>
    </row>
    <row r="50" spans="1:15" x14ac:dyDescent="0.3">
      <c r="A50" s="11"/>
      <c r="B50" s="93">
        <v>43</v>
      </c>
      <c r="C50" s="94">
        <v>46055</v>
      </c>
      <c r="D50" s="95" t="s">
        <v>347</v>
      </c>
      <c r="E50" s="95" t="s">
        <v>313</v>
      </c>
      <c r="F50" s="96" t="s">
        <v>182</v>
      </c>
      <c r="G50" s="96" t="s">
        <v>179</v>
      </c>
      <c r="H50" s="97">
        <v>69951</v>
      </c>
      <c r="I50" s="96" t="s">
        <v>348</v>
      </c>
      <c r="J50" s="97">
        <v>13990.2</v>
      </c>
      <c r="K50" s="92">
        <f>IF(INDEX(Cat_ChargesVAT,MATCH(tbl_Ledger[[#This Row],[Tax Category]],Cat_Codes,0))="No",0,tbl_Ledger[[#This Row],[Amount]]*VAT_Rate)</f>
        <v>10492.65</v>
      </c>
      <c r="L50" s="92">
        <f>IF(INDEX(Cat_ChargesVAT,MATCH(tbl_Ledger[[#This Row],[Tax Category]],Cat_Codes,0))="No",0,tbl_Ledger[[#This Row],[Amount]]*NHIL_Rate)</f>
        <v>1748.7750000000001</v>
      </c>
      <c r="M50" s="92">
        <f>IF(INDEX(Cat_ChargesVAT,MATCH(tbl_Ledger[[#This Row],[Tax Category]],Cat_Codes,0))="No",0,tbl_Ledger[[#This Row],[Amount]]*GETFund_Rate)</f>
        <v>1748.7750000000001</v>
      </c>
      <c r="N50" s="92">
        <f>tbl_Ledger[[#This Row],[Expected VAT]]+tbl_Ledger[[#This Row],[Expected NHIL]]+tbl_Ledger[[#This Row],[Expected GETFund]]</f>
        <v>13990.199999999999</v>
      </c>
      <c r="O50" s="92">
        <f>tbl_Ledger[[#This Row],[Amount]]+tbl_Ledger[[#This Row],[Tax Charged on Invoice]]</f>
        <v>83941.2</v>
      </c>
    </row>
    <row r="51" spans="1:15" x14ac:dyDescent="0.3">
      <c r="A51" s="11"/>
      <c r="B51" s="93">
        <v>44</v>
      </c>
      <c r="C51" s="94">
        <v>46056</v>
      </c>
      <c r="D51" s="95" t="s">
        <v>349</v>
      </c>
      <c r="E51" s="95" t="s">
        <v>350</v>
      </c>
      <c r="F51" s="96" t="s">
        <v>182</v>
      </c>
      <c r="G51" s="96" t="s">
        <v>179</v>
      </c>
      <c r="H51" s="97">
        <v>62973</v>
      </c>
      <c r="I51" s="96" t="s">
        <v>351</v>
      </c>
      <c r="J51" s="97">
        <v>12594.6</v>
      </c>
      <c r="K51" s="92">
        <f>IF(INDEX(Cat_ChargesVAT,MATCH(tbl_Ledger[[#This Row],[Tax Category]],Cat_Codes,0))="No",0,tbl_Ledger[[#This Row],[Amount]]*VAT_Rate)</f>
        <v>9445.9499999999989</v>
      </c>
      <c r="L51" s="92">
        <f>IF(INDEX(Cat_ChargesVAT,MATCH(tbl_Ledger[[#This Row],[Tax Category]],Cat_Codes,0))="No",0,tbl_Ledger[[#This Row],[Amount]]*NHIL_Rate)</f>
        <v>1574.325</v>
      </c>
      <c r="M51" s="92">
        <f>IF(INDEX(Cat_ChargesVAT,MATCH(tbl_Ledger[[#This Row],[Tax Category]],Cat_Codes,0))="No",0,tbl_Ledger[[#This Row],[Amount]]*GETFund_Rate)</f>
        <v>1574.325</v>
      </c>
      <c r="N51" s="92">
        <f>tbl_Ledger[[#This Row],[Expected VAT]]+tbl_Ledger[[#This Row],[Expected NHIL]]+tbl_Ledger[[#This Row],[Expected GETFund]]</f>
        <v>12594.6</v>
      </c>
      <c r="O51" s="92">
        <f>tbl_Ledger[[#This Row],[Amount]]+tbl_Ledger[[#This Row],[Tax Charged on Invoice]]</f>
        <v>75567.600000000006</v>
      </c>
    </row>
    <row r="52" spans="1:15" x14ac:dyDescent="0.3">
      <c r="A52" s="11"/>
      <c r="B52" s="93">
        <v>45</v>
      </c>
      <c r="C52" s="94">
        <v>46056</v>
      </c>
      <c r="D52" s="95" t="s">
        <v>352</v>
      </c>
      <c r="E52" s="95" t="s">
        <v>253</v>
      </c>
      <c r="F52" s="96" t="s">
        <v>182</v>
      </c>
      <c r="G52" s="96" t="s">
        <v>179</v>
      </c>
      <c r="H52" s="97">
        <v>64435</v>
      </c>
      <c r="I52" s="96" t="s">
        <v>353</v>
      </c>
      <c r="J52" s="97">
        <v>12887</v>
      </c>
      <c r="K52" s="92">
        <f>IF(INDEX(Cat_ChargesVAT,MATCH(tbl_Ledger[[#This Row],[Tax Category]],Cat_Codes,0))="No",0,tbl_Ledger[[#This Row],[Amount]]*VAT_Rate)</f>
        <v>9665.25</v>
      </c>
      <c r="L52" s="92">
        <f>IF(INDEX(Cat_ChargesVAT,MATCH(tbl_Ledger[[#This Row],[Tax Category]],Cat_Codes,0))="No",0,tbl_Ledger[[#This Row],[Amount]]*NHIL_Rate)</f>
        <v>1610.875</v>
      </c>
      <c r="M52" s="92">
        <f>IF(INDEX(Cat_ChargesVAT,MATCH(tbl_Ledger[[#This Row],[Tax Category]],Cat_Codes,0))="No",0,tbl_Ledger[[#This Row],[Amount]]*GETFund_Rate)</f>
        <v>1610.875</v>
      </c>
      <c r="N52" s="92">
        <f>tbl_Ledger[[#This Row],[Expected VAT]]+tbl_Ledger[[#This Row],[Expected NHIL]]+tbl_Ledger[[#This Row],[Expected GETFund]]</f>
        <v>12887</v>
      </c>
      <c r="O52" s="92">
        <f>tbl_Ledger[[#This Row],[Amount]]+tbl_Ledger[[#This Row],[Tax Charged on Invoice]]</f>
        <v>77322</v>
      </c>
    </row>
    <row r="53" spans="1:15" x14ac:dyDescent="0.3">
      <c r="A53" s="11"/>
      <c r="B53" s="93">
        <v>46</v>
      </c>
      <c r="C53" s="94">
        <v>46058</v>
      </c>
      <c r="D53" s="95" t="s">
        <v>263</v>
      </c>
      <c r="E53" s="95" t="s">
        <v>313</v>
      </c>
      <c r="F53" s="96" t="s">
        <v>182</v>
      </c>
      <c r="G53" s="96" t="s">
        <v>187</v>
      </c>
      <c r="H53" s="97">
        <v>80061</v>
      </c>
      <c r="I53" s="96" t="s">
        <v>354</v>
      </c>
      <c r="J53" s="97">
        <v>16012.2</v>
      </c>
      <c r="K53" s="92">
        <f>IF(INDEX(Cat_ChargesVAT,MATCH(tbl_Ledger[[#This Row],[Tax Category]],Cat_Codes,0))="No",0,tbl_Ledger[[#This Row],[Amount]]*VAT_Rate)</f>
        <v>12009.15</v>
      </c>
      <c r="L53" s="92">
        <f>IF(INDEX(Cat_ChargesVAT,MATCH(tbl_Ledger[[#This Row],[Tax Category]],Cat_Codes,0))="No",0,tbl_Ledger[[#This Row],[Amount]]*NHIL_Rate)</f>
        <v>2001.5250000000001</v>
      </c>
      <c r="M53" s="92">
        <f>IF(INDEX(Cat_ChargesVAT,MATCH(tbl_Ledger[[#This Row],[Tax Category]],Cat_Codes,0))="No",0,tbl_Ledger[[#This Row],[Amount]]*GETFund_Rate)</f>
        <v>2001.5250000000001</v>
      </c>
      <c r="N53" s="92">
        <f>tbl_Ledger[[#This Row],[Expected VAT]]+tbl_Ledger[[#This Row],[Expected NHIL]]+tbl_Ledger[[#This Row],[Expected GETFund]]</f>
        <v>16012.199999999999</v>
      </c>
      <c r="O53" s="92">
        <f>tbl_Ledger[[#This Row],[Amount]]+tbl_Ledger[[#This Row],[Tax Charged on Invoice]]</f>
        <v>96073.2</v>
      </c>
    </row>
    <row r="54" spans="1:15" x14ac:dyDescent="0.3">
      <c r="A54" s="11"/>
      <c r="B54" s="93">
        <v>47</v>
      </c>
      <c r="C54" s="94">
        <v>46059</v>
      </c>
      <c r="D54" s="95" t="s">
        <v>338</v>
      </c>
      <c r="E54" s="95" t="s">
        <v>318</v>
      </c>
      <c r="F54" s="96" t="s">
        <v>201</v>
      </c>
      <c r="G54" s="96" t="s">
        <v>205</v>
      </c>
      <c r="H54" s="97">
        <v>3392</v>
      </c>
      <c r="I54" s="96" t="s">
        <v>355</v>
      </c>
      <c r="J54" s="97">
        <v>0</v>
      </c>
      <c r="K54" s="92">
        <f>IF(INDEX(Cat_ChargesVAT,MATCH(tbl_Ledger[[#This Row],[Tax Category]],Cat_Codes,0))="No",0,tbl_Ledger[[#This Row],[Amount]]*VAT_Rate)</f>
        <v>0</v>
      </c>
      <c r="L54" s="92">
        <f>IF(INDEX(Cat_ChargesVAT,MATCH(tbl_Ledger[[#This Row],[Tax Category]],Cat_Codes,0))="No",0,tbl_Ledger[[#This Row],[Amount]]*NHIL_Rate)</f>
        <v>0</v>
      </c>
      <c r="M54" s="92">
        <f>IF(INDEX(Cat_ChargesVAT,MATCH(tbl_Ledger[[#This Row],[Tax Category]],Cat_Codes,0))="No",0,tbl_Ledger[[#This Row],[Amount]]*GETFund_Rate)</f>
        <v>0</v>
      </c>
      <c r="N54" s="92">
        <f>tbl_Ledger[[#This Row],[Expected VAT]]+tbl_Ledger[[#This Row],[Expected NHIL]]+tbl_Ledger[[#This Row],[Expected GETFund]]</f>
        <v>0</v>
      </c>
      <c r="O54" s="92">
        <f>tbl_Ledger[[#This Row],[Amount]]+tbl_Ledger[[#This Row],[Tax Charged on Invoice]]</f>
        <v>3392</v>
      </c>
    </row>
    <row r="55" spans="1:15" x14ac:dyDescent="0.3">
      <c r="A55" s="11"/>
      <c r="B55" s="93">
        <v>48</v>
      </c>
      <c r="C55" s="94">
        <v>46059</v>
      </c>
      <c r="D55" s="95" t="s">
        <v>356</v>
      </c>
      <c r="E55" s="95" t="s">
        <v>268</v>
      </c>
      <c r="F55" s="96" t="s">
        <v>201</v>
      </c>
      <c r="G55" s="96" t="s">
        <v>205</v>
      </c>
      <c r="H55" s="97">
        <v>82256</v>
      </c>
      <c r="I55" s="96" t="s">
        <v>357</v>
      </c>
      <c r="J55" s="97">
        <v>0</v>
      </c>
      <c r="K55" s="92">
        <f>IF(INDEX(Cat_ChargesVAT,MATCH(tbl_Ledger[[#This Row],[Tax Category]],Cat_Codes,0))="No",0,tbl_Ledger[[#This Row],[Amount]]*VAT_Rate)</f>
        <v>0</v>
      </c>
      <c r="L55" s="92">
        <f>IF(INDEX(Cat_ChargesVAT,MATCH(tbl_Ledger[[#This Row],[Tax Category]],Cat_Codes,0))="No",0,tbl_Ledger[[#This Row],[Amount]]*NHIL_Rate)</f>
        <v>0</v>
      </c>
      <c r="M55" s="92">
        <f>IF(INDEX(Cat_ChargesVAT,MATCH(tbl_Ledger[[#This Row],[Tax Category]],Cat_Codes,0))="No",0,tbl_Ledger[[#This Row],[Amount]]*GETFund_Rate)</f>
        <v>0</v>
      </c>
      <c r="N55" s="92">
        <f>tbl_Ledger[[#This Row],[Expected VAT]]+tbl_Ledger[[#This Row],[Expected NHIL]]+tbl_Ledger[[#This Row],[Expected GETFund]]</f>
        <v>0</v>
      </c>
      <c r="O55" s="92">
        <f>tbl_Ledger[[#This Row],[Amount]]+tbl_Ledger[[#This Row],[Tax Charged on Invoice]]</f>
        <v>82256</v>
      </c>
    </row>
    <row r="56" spans="1:15" x14ac:dyDescent="0.3">
      <c r="A56" s="11"/>
      <c r="B56" s="93">
        <v>49</v>
      </c>
      <c r="C56" s="94">
        <v>46060</v>
      </c>
      <c r="D56" s="95" t="s">
        <v>358</v>
      </c>
      <c r="E56" s="95" t="s">
        <v>268</v>
      </c>
      <c r="F56" s="96" t="s">
        <v>201</v>
      </c>
      <c r="G56" s="96" t="s">
        <v>205</v>
      </c>
      <c r="H56" s="97">
        <v>61870</v>
      </c>
      <c r="I56" s="96" t="s">
        <v>359</v>
      </c>
      <c r="J56" s="97">
        <v>0</v>
      </c>
      <c r="K56" s="92">
        <f>IF(INDEX(Cat_ChargesVAT,MATCH(tbl_Ledger[[#This Row],[Tax Category]],Cat_Codes,0))="No",0,tbl_Ledger[[#This Row],[Amount]]*VAT_Rate)</f>
        <v>0</v>
      </c>
      <c r="L56" s="92">
        <f>IF(INDEX(Cat_ChargesVAT,MATCH(tbl_Ledger[[#This Row],[Tax Category]],Cat_Codes,0))="No",0,tbl_Ledger[[#This Row],[Amount]]*NHIL_Rate)</f>
        <v>0</v>
      </c>
      <c r="M56" s="92">
        <f>IF(INDEX(Cat_ChargesVAT,MATCH(tbl_Ledger[[#This Row],[Tax Category]],Cat_Codes,0))="No",0,tbl_Ledger[[#This Row],[Amount]]*GETFund_Rate)</f>
        <v>0</v>
      </c>
      <c r="N56" s="92">
        <f>tbl_Ledger[[#This Row],[Expected VAT]]+tbl_Ledger[[#This Row],[Expected NHIL]]+tbl_Ledger[[#This Row],[Expected GETFund]]</f>
        <v>0</v>
      </c>
      <c r="O56" s="92">
        <f>tbl_Ledger[[#This Row],[Amount]]+tbl_Ledger[[#This Row],[Tax Charged on Invoice]]</f>
        <v>61870</v>
      </c>
    </row>
    <row r="57" spans="1:15" x14ac:dyDescent="0.3">
      <c r="A57" s="11"/>
      <c r="B57" s="93">
        <v>50</v>
      </c>
      <c r="C57" s="94">
        <v>46061</v>
      </c>
      <c r="D57" s="95" t="s">
        <v>320</v>
      </c>
      <c r="E57" s="95" t="s">
        <v>256</v>
      </c>
      <c r="F57" s="96" t="s">
        <v>201</v>
      </c>
      <c r="G57" s="96" t="s">
        <v>199</v>
      </c>
      <c r="H57" s="97">
        <v>22995</v>
      </c>
      <c r="I57" s="96" t="s">
        <v>360</v>
      </c>
      <c r="J57" s="97">
        <v>4599</v>
      </c>
      <c r="K57" s="92">
        <f>IF(INDEX(Cat_ChargesVAT,MATCH(tbl_Ledger[[#This Row],[Tax Category]],Cat_Codes,0))="No",0,tbl_Ledger[[#This Row],[Amount]]*VAT_Rate)</f>
        <v>3449.25</v>
      </c>
      <c r="L57" s="92">
        <f>IF(INDEX(Cat_ChargesVAT,MATCH(tbl_Ledger[[#This Row],[Tax Category]],Cat_Codes,0))="No",0,tbl_Ledger[[#This Row],[Amount]]*NHIL_Rate)</f>
        <v>574.875</v>
      </c>
      <c r="M57" s="92">
        <f>IF(INDEX(Cat_ChargesVAT,MATCH(tbl_Ledger[[#This Row],[Tax Category]],Cat_Codes,0))="No",0,tbl_Ledger[[#This Row],[Amount]]*GETFund_Rate)</f>
        <v>574.875</v>
      </c>
      <c r="N57" s="92">
        <f>tbl_Ledger[[#This Row],[Expected VAT]]+tbl_Ledger[[#This Row],[Expected NHIL]]+tbl_Ledger[[#This Row],[Expected GETFund]]</f>
        <v>4599</v>
      </c>
      <c r="O57" s="92">
        <f>tbl_Ledger[[#This Row],[Amount]]+tbl_Ledger[[#This Row],[Tax Charged on Invoice]]</f>
        <v>27594</v>
      </c>
    </row>
    <row r="58" spans="1:15" x14ac:dyDescent="0.3">
      <c r="A58" s="11"/>
      <c r="B58" s="93">
        <v>51</v>
      </c>
      <c r="C58" s="94">
        <v>46061</v>
      </c>
      <c r="D58" s="95" t="s">
        <v>361</v>
      </c>
      <c r="E58" s="95" t="s">
        <v>350</v>
      </c>
      <c r="F58" s="96" t="s">
        <v>182</v>
      </c>
      <c r="G58" s="96" t="s">
        <v>179</v>
      </c>
      <c r="H58" s="97">
        <v>50663</v>
      </c>
      <c r="I58" s="96" t="s">
        <v>362</v>
      </c>
      <c r="J58" s="97">
        <v>10132.6</v>
      </c>
      <c r="K58" s="92">
        <f>IF(INDEX(Cat_ChargesVAT,MATCH(tbl_Ledger[[#This Row],[Tax Category]],Cat_Codes,0))="No",0,tbl_Ledger[[#This Row],[Amount]]*VAT_Rate)</f>
        <v>7599.45</v>
      </c>
      <c r="L58" s="92">
        <f>IF(INDEX(Cat_ChargesVAT,MATCH(tbl_Ledger[[#This Row],[Tax Category]],Cat_Codes,0))="No",0,tbl_Ledger[[#This Row],[Amount]]*NHIL_Rate)</f>
        <v>1266.575</v>
      </c>
      <c r="M58" s="92">
        <f>IF(INDEX(Cat_ChargesVAT,MATCH(tbl_Ledger[[#This Row],[Tax Category]],Cat_Codes,0))="No",0,tbl_Ledger[[#This Row],[Amount]]*GETFund_Rate)</f>
        <v>1266.575</v>
      </c>
      <c r="N58" s="92">
        <f>tbl_Ledger[[#This Row],[Expected VAT]]+tbl_Ledger[[#This Row],[Expected NHIL]]+tbl_Ledger[[#This Row],[Expected GETFund]]</f>
        <v>10132.6</v>
      </c>
      <c r="O58" s="92">
        <f>tbl_Ledger[[#This Row],[Amount]]+tbl_Ledger[[#This Row],[Tax Charged on Invoice]]</f>
        <v>60795.6</v>
      </c>
    </row>
    <row r="59" spans="1:15" x14ac:dyDescent="0.3">
      <c r="A59" s="11"/>
      <c r="B59" s="93">
        <v>52</v>
      </c>
      <c r="C59" s="94">
        <v>46062</v>
      </c>
      <c r="D59" s="95" t="s">
        <v>363</v>
      </c>
      <c r="E59" s="95" t="s">
        <v>268</v>
      </c>
      <c r="F59" s="96" t="s">
        <v>201</v>
      </c>
      <c r="G59" s="96" t="s">
        <v>205</v>
      </c>
      <c r="H59" s="97">
        <v>58169</v>
      </c>
      <c r="I59" s="96" t="s">
        <v>364</v>
      </c>
      <c r="J59" s="97">
        <v>0</v>
      </c>
      <c r="K59" s="92">
        <f>IF(INDEX(Cat_ChargesVAT,MATCH(tbl_Ledger[[#This Row],[Tax Category]],Cat_Codes,0))="No",0,tbl_Ledger[[#This Row],[Amount]]*VAT_Rate)</f>
        <v>0</v>
      </c>
      <c r="L59" s="92">
        <f>IF(INDEX(Cat_ChargesVAT,MATCH(tbl_Ledger[[#This Row],[Tax Category]],Cat_Codes,0))="No",0,tbl_Ledger[[#This Row],[Amount]]*NHIL_Rate)</f>
        <v>0</v>
      </c>
      <c r="M59" s="92">
        <f>IF(INDEX(Cat_ChargesVAT,MATCH(tbl_Ledger[[#This Row],[Tax Category]],Cat_Codes,0))="No",0,tbl_Ledger[[#This Row],[Amount]]*GETFund_Rate)</f>
        <v>0</v>
      </c>
      <c r="N59" s="92">
        <f>tbl_Ledger[[#This Row],[Expected VAT]]+tbl_Ledger[[#This Row],[Expected NHIL]]+tbl_Ledger[[#This Row],[Expected GETFund]]</f>
        <v>0</v>
      </c>
      <c r="O59" s="92">
        <f>tbl_Ledger[[#This Row],[Amount]]+tbl_Ledger[[#This Row],[Tax Charged on Invoice]]</f>
        <v>58169</v>
      </c>
    </row>
    <row r="60" spans="1:15" x14ac:dyDescent="0.3">
      <c r="A60" s="11"/>
      <c r="B60" s="93">
        <v>53</v>
      </c>
      <c r="C60" s="94">
        <v>46062</v>
      </c>
      <c r="D60" s="95" t="s">
        <v>365</v>
      </c>
      <c r="E60" s="95" t="s">
        <v>366</v>
      </c>
      <c r="F60" s="96" t="s">
        <v>201</v>
      </c>
      <c r="G60" s="96" t="s">
        <v>219</v>
      </c>
      <c r="H60" s="97">
        <v>1822</v>
      </c>
      <c r="I60" s="96" t="s">
        <v>367</v>
      </c>
      <c r="J60" s="97">
        <v>364.4</v>
      </c>
      <c r="K60" s="92">
        <f>IF(INDEX(Cat_ChargesVAT,MATCH(tbl_Ledger[[#This Row],[Tax Category]],Cat_Codes,0))="No",0,tbl_Ledger[[#This Row],[Amount]]*VAT_Rate)</f>
        <v>273.3</v>
      </c>
      <c r="L60" s="92">
        <f>IF(INDEX(Cat_ChargesVAT,MATCH(tbl_Ledger[[#This Row],[Tax Category]],Cat_Codes,0))="No",0,tbl_Ledger[[#This Row],[Amount]]*NHIL_Rate)</f>
        <v>45.550000000000004</v>
      </c>
      <c r="M60" s="92">
        <f>IF(INDEX(Cat_ChargesVAT,MATCH(tbl_Ledger[[#This Row],[Tax Category]],Cat_Codes,0))="No",0,tbl_Ledger[[#This Row],[Amount]]*GETFund_Rate)</f>
        <v>45.550000000000004</v>
      </c>
      <c r="N60" s="92">
        <f>tbl_Ledger[[#This Row],[Expected VAT]]+tbl_Ledger[[#This Row],[Expected NHIL]]+tbl_Ledger[[#This Row],[Expected GETFund]]</f>
        <v>364.40000000000003</v>
      </c>
      <c r="O60" s="92">
        <f>tbl_Ledger[[#This Row],[Amount]]+tbl_Ledger[[#This Row],[Tax Charged on Invoice]]</f>
        <v>2186.4</v>
      </c>
    </row>
    <row r="61" spans="1:15" x14ac:dyDescent="0.3">
      <c r="A61" s="11"/>
      <c r="B61" s="93">
        <v>54</v>
      </c>
      <c r="C61" s="94">
        <v>46062</v>
      </c>
      <c r="D61" s="95" t="s">
        <v>368</v>
      </c>
      <c r="E61" s="95" t="s">
        <v>350</v>
      </c>
      <c r="F61" s="96" t="s">
        <v>182</v>
      </c>
      <c r="G61" s="96" t="s">
        <v>179</v>
      </c>
      <c r="H61" s="97">
        <v>15859</v>
      </c>
      <c r="I61" s="96" t="s">
        <v>369</v>
      </c>
      <c r="J61" s="97">
        <v>3171.8</v>
      </c>
      <c r="K61" s="92">
        <f>IF(INDEX(Cat_ChargesVAT,MATCH(tbl_Ledger[[#This Row],[Tax Category]],Cat_Codes,0))="No",0,tbl_Ledger[[#This Row],[Amount]]*VAT_Rate)</f>
        <v>2378.85</v>
      </c>
      <c r="L61" s="92">
        <f>IF(INDEX(Cat_ChargesVAT,MATCH(tbl_Ledger[[#This Row],[Tax Category]],Cat_Codes,0))="No",0,tbl_Ledger[[#This Row],[Amount]]*NHIL_Rate)</f>
        <v>396.47500000000002</v>
      </c>
      <c r="M61" s="92">
        <f>IF(INDEX(Cat_ChargesVAT,MATCH(tbl_Ledger[[#This Row],[Tax Category]],Cat_Codes,0))="No",0,tbl_Ledger[[#This Row],[Amount]]*GETFund_Rate)</f>
        <v>396.47500000000002</v>
      </c>
      <c r="N61" s="92">
        <f>tbl_Ledger[[#This Row],[Expected VAT]]+tbl_Ledger[[#This Row],[Expected NHIL]]+tbl_Ledger[[#This Row],[Expected GETFund]]</f>
        <v>3171.7999999999997</v>
      </c>
      <c r="O61" s="92">
        <f>tbl_Ledger[[#This Row],[Amount]]+tbl_Ledger[[#This Row],[Tax Charged on Invoice]]</f>
        <v>19030.8</v>
      </c>
    </row>
    <row r="62" spans="1:15" x14ac:dyDescent="0.3">
      <c r="A62" s="11"/>
      <c r="B62" s="93">
        <v>55</v>
      </c>
      <c r="C62" s="94">
        <v>46063</v>
      </c>
      <c r="D62" s="95" t="s">
        <v>370</v>
      </c>
      <c r="E62" s="95" t="s">
        <v>283</v>
      </c>
      <c r="F62" s="96" t="s">
        <v>182</v>
      </c>
      <c r="G62" s="96" t="s">
        <v>179</v>
      </c>
      <c r="H62" s="97">
        <v>65713</v>
      </c>
      <c r="I62" s="96" t="s">
        <v>371</v>
      </c>
      <c r="J62" s="97">
        <v>13142.6</v>
      </c>
      <c r="K62" s="92">
        <f>IF(INDEX(Cat_ChargesVAT,MATCH(tbl_Ledger[[#This Row],[Tax Category]],Cat_Codes,0))="No",0,tbl_Ledger[[#This Row],[Amount]]*VAT_Rate)</f>
        <v>9856.9499999999989</v>
      </c>
      <c r="L62" s="92">
        <f>IF(INDEX(Cat_ChargesVAT,MATCH(tbl_Ledger[[#This Row],[Tax Category]],Cat_Codes,0))="No",0,tbl_Ledger[[#This Row],[Amount]]*NHIL_Rate)</f>
        <v>1642.825</v>
      </c>
      <c r="M62" s="92">
        <f>IF(INDEX(Cat_ChargesVAT,MATCH(tbl_Ledger[[#This Row],[Tax Category]],Cat_Codes,0))="No",0,tbl_Ledger[[#This Row],[Amount]]*GETFund_Rate)</f>
        <v>1642.825</v>
      </c>
      <c r="N62" s="92">
        <f>tbl_Ledger[[#This Row],[Expected VAT]]+tbl_Ledger[[#This Row],[Expected NHIL]]+tbl_Ledger[[#This Row],[Expected GETFund]]</f>
        <v>13142.6</v>
      </c>
      <c r="O62" s="92">
        <f>tbl_Ledger[[#This Row],[Amount]]+tbl_Ledger[[#This Row],[Tax Charged on Invoice]]</f>
        <v>78855.600000000006</v>
      </c>
    </row>
    <row r="63" spans="1:15" x14ac:dyDescent="0.3">
      <c r="A63" s="11"/>
      <c r="B63" s="93">
        <v>56</v>
      </c>
      <c r="C63" s="94">
        <v>46064</v>
      </c>
      <c r="D63" s="95" t="s">
        <v>372</v>
      </c>
      <c r="E63" s="95" t="s">
        <v>275</v>
      </c>
      <c r="F63" s="96" t="s">
        <v>201</v>
      </c>
      <c r="G63" s="96" t="s">
        <v>212</v>
      </c>
      <c r="H63" s="97">
        <v>12961</v>
      </c>
      <c r="I63" s="96" t="s">
        <v>373</v>
      </c>
      <c r="J63" s="97">
        <v>0</v>
      </c>
      <c r="K63" s="92">
        <f>IF(INDEX(Cat_ChargesVAT,MATCH(tbl_Ledger[[#This Row],[Tax Category]],Cat_Codes,0))="No",0,tbl_Ledger[[#This Row],[Amount]]*VAT_Rate)</f>
        <v>0</v>
      </c>
      <c r="L63" s="92">
        <f>IF(INDEX(Cat_ChargesVAT,MATCH(tbl_Ledger[[#This Row],[Tax Category]],Cat_Codes,0))="No",0,tbl_Ledger[[#This Row],[Amount]]*NHIL_Rate)</f>
        <v>0</v>
      </c>
      <c r="M63" s="92">
        <f>IF(INDEX(Cat_ChargesVAT,MATCH(tbl_Ledger[[#This Row],[Tax Category]],Cat_Codes,0))="No",0,tbl_Ledger[[#This Row],[Amount]]*GETFund_Rate)</f>
        <v>0</v>
      </c>
      <c r="N63" s="92">
        <f>tbl_Ledger[[#This Row],[Expected VAT]]+tbl_Ledger[[#This Row],[Expected NHIL]]+tbl_Ledger[[#This Row],[Expected GETFund]]</f>
        <v>0</v>
      </c>
      <c r="O63" s="92">
        <f>tbl_Ledger[[#This Row],[Amount]]+tbl_Ledger[[#This Row],[Tax Charged on Invoice]]</f>
        <v>12961</v>
      </c>
    </row>
    <row r="64" spans="1:15" x14ac:dyDescent="0.3">
      <c r="A64" s="11"/>
      <c r="B64" s="93">
        <v>57</v>
      </c>
      <c r="C64" s="94">
        <v>46065</v>
      </c>
      <c r="D64" s="95" t="s">
        <v>374</v>
      </c>
      <c r="E64" s="95" t="s">
        <v>288</v>
      </c>
      <c r="F64" s="96" t="s">
        <v>182</v>
      </c>
      <c r="G64" s="96" t="s">
        <v>187</v>
      </c>
      <c r="H64" s="97">
        <v>36059</v>
      </c>
      <c r="I64" s="96" t="s">
        <v>375</v>
      </c>
      <c r="J64" s="97">
        <v>7211.8</v>
      </c>
      <c r="K64" s="92">
        <f>IF(INDEX(Cat_ChargesVAT,MATCH(tbl_Ledger[[#This Row],[Tax Category]],Cat_Codes,0))="No",0,tbl_Ledger[[#This Row],[Amount]]*VAT_Rate)</f>
        <v>5408.8499999999995</v>
      </c>
      <c r="L64" s="92">
        <f>IF(INDEX(Cat_ChargesVAT,MATCH(tbl_Ledger[[#This Row],[Tax Category]],Cat_Codes,0))="No",0,tbl_Ledger[[#This Row],[Amount]]*NHIL_Rate)</f>
        <v>901.47500000000002</v>
      </c>
      <c r="M64" s="92">
        <f>IF(INDEX(Cat_ChargesVAT,MATCH(tbl_Ledger[[#This Row],[Tax Category]],Cat_Codes,0))="No",0,tbl_Ledger[[#This Row],[Amount]]*GETFund_Rate)</f>
        <v>901.47500000000002</v>
      </c>
      <c r="N64" s="92">
        <f>tbl_Ledger[[#This Row],[Expected VAT]]+tbl_Ledger[[#This Row],[Expected NHIL]]+tbl_Ledger[[#This Row],[Expected GETFund]]</f>
        <v>7211.8</v>
      </c>
      <c r="O64" s="92">
        <f>tbl_Ledger[[#This Row],[Amount]]+tbl_Ledger[[#This Row],[Tax Charged on Invoice]]</f>
        <v>43270.8</v>
      </c>
    </row>
    <row r="65" spans="1:15" x14ac:dyDescent="0.3">
      <c r="A65" s="11"/>
      <c r="B65" s="93">
        <v>58</v>
      </c>
      <c r="C65" s="94">
        <v>46067</v>
      </c>
      <c r="D65" s="95" t="s">
        <v>338</v>
      </c>
      <c r="E65" s="95" t="s">
        <v>278</v>
      </c>
      <c r="F65" s="96" t="s">
        <v>201</v>
      </c>
      <c r="G65" s="96" t="s">
        <v>205</v>
      </c>
      <c r="H65" s="97">
        <v>2795</v>
      </c>
      <c r="I65" s="96" t="s">
        <v>376</v>
      </c>
      <c r="J65" s="97">
        <v>0</v>
      </c>
      <c r="K65" s="92">
        <f>IF(INDEX(Cat_ChargesVAT,MATCH(tbl_Ledger[[#This Row],[Tax Category]],Cat_Codes,0))="No",0,tbl_Ledger[[#This Row],[Amount]]*VAT_Rate)</f>
        <v>0</v>
      </c>
      <c r="L65" s="92">
        <f>IF(INDEX(Cat_ChargesVAT,MATCH(tbl_Ledger[[#This Row],[Tax Category]],Cat_Codes,0))="No",0,tbl_Ledger[[#This Row],[Amount]]*NHIL_Rate)</f>
        <v>0</v>
      </c>
      <c r="M65" s="92">
        <f>IF(INDEX(Cat_ChargesVAT,MATCH(tbl_Ledger[[#This Row],[Tax Category]],Cat_Codes,0))="No",0,tbl_Ledger[[#This Row],[Amount]]*GETFund_Rate)</f>
        <v>0</v>
      </c>
      <c r="N65" s="92">
        <f>tbl_Ledger[[#This Row],[Expected VAT]]+tbl_Ledger[[#This Row],[Expected NHIL]]+tbl_Ledger[[#This Row],[Expected GETFund]]</f>
        <v>0</v>
      </c>
      <c r="O65" s="92">
        <f>tbl_Ledger[[#This Row],[Amount]]+tbl_Ledger[[#This Row],[Tax Charged on Invoice]]</f>
        <v>2795</v>
      </c>
    </row>
    <row r="66" spans="1:15" x14ac:dyDescent="0.3">
      <c r="A66" s="11"/>
      <c r="B66" s="93">
        <v>59</v>
      </c>
      <c r="C66" s="94">
        <v>46068</v>
      </c>
      <c r="D66" s="95" t="s">
        <v>377</v>
      </c>
      <c r="E66" s="95" t="s">
        <v>278</v>
      </c>
      <c r="F66" s="96" t="s">
        <v>201</v>
      </c>
      <c r="G66" s="96" t="s">
        <v>212</v>
      </c>
      <c r="H66" s="97">
        <v>46670</v>
      </c>
      <c r="I66" s="96" t="s">
        <v>378</v>
      </c>
      <c r="J66" s="97">
        <v>0</v>
      </c>
      <c r="K66" s="92">
        <f>IF(INDEX(Cat_ChargesVAT,MATCH(tbl_Ledger[[#This Row],[Tax Category]],Cat_Codes,0))="No",0,tbl_Ledger[[#This Row],[Amount]]*VAT_Rate)</f>
        <v>0</v>
      </c>
      <c r="L66" s="92">
        <f>IF(INDEX(Cat_ChargesVAT,MATCH(tbl_Ledger[[#This Row],[Tax Category]],Cat_Codes,0))="No",0,tbl_Ledger[[#This Row],[Amount]]*NHIL_Rate)</f>
        <v>0</v>
      </c>
      <c r="M66" s="92">
        <f>IF(INDEX(Cat_ChargesVAT,MATCH(tbl_Ledger[[#This Row],[Tax Category]],Cat_Codes,0))="No",0,tbl_Ledger[[#This Row],[Amount]]*GETFund_Rate)</f>
        <v>0</v>
      </c>
      <c r="N66" s="92">
        <f>tbl_Ledger[[#This Row],[Expected VAT]]+tbl_Ledger[[#This Row],[Expected NHIL]]+tbl_Ledger[[#This Row],[Expected GETFund]]</f>
        <v>0</v>
      </c>
      <c r="O66" s="92">
        <f>tbl_Ledger[[#This Row],[Amount]]+tbl_Ledger[[#This Row],[Tax Charged on Invoice]]</f>
        <v>46670</v>
      </c>
    </row>
    <row r="67" spans="1:15" x14ac:dyDescent="0.3">
      <c r="A67" s="11"/>
      <c r="B67" s="93">
        <v>60</v>
      </c>
      <c r="C67" s="94">
        <v>46068</v>
      </c>
      <c r="D67" s="95" t="s">
        <v>379</v>
      </c>
      <c r="E67" s="95" t="s">
        <v>288</v>
      </c>
      <c r="F67" s="96" t="s">
        <v>182</v>
      </c>
      <c r="G67" s="96" t="s">
        <v>193</v>
      </c>
      <c r="H67" s="97">
        <v>75312</v>
      </c>
      <c r="I67" s="96" t="s">
        <v>380</v>
      </c>
      <c r="J67" s="97">
        <v>15062.4</v>
      </c>
      <c r="K67" s="92">
        <f>IF(INDEX(Cat_ChargesVAT,MATCH(tbl_Ledger[[#This Row],[Tax Category]],Cat_Codes,0))="No",0,tbl_Ledger[[#This Row],[Amount]]*VAT_Rate)</f>
        <v>11296.8</v>
      </c>
      <c r="L67" s="92">
        <f>IF(INDEX(Cat_ChargesVAT,MATCH(tbl_Ledger[[#This Row],[Tax Category]],Cat_Codes,0))="No",0,tbl_Ledger[[#This Row],[Amount]]*NHIL_Rate)</f>
        <v>1882.8000000000002</v>
      </c>
      <c r="M67" s="92">
        <f>IF(INDEX(Cat_ChargesVAT,MATCH(tbl_Ledger[[#This Row],[Tax Category]],Cat_Codes,0))="No",0,tbl_Ledger[[#This Row],[Amount]]*GETFund_Rate)</f>
        <v>1882.8000000000002</v>
      </c>
      <c r="N67" s="92">
        <f>tbl_Ledger[[#This Row],[Expected VAT]]+tbl_Ledger[[#This Row],[Expected NHIL]]+tbl_Ledger[[#This Row],[Expected GETFund]]</f>
        <v>15062.399999999998</v>
      </c>
      <c r="O67" s="92">
        <f>tbl_Ledger[[#This Row],[Amount]]+tbl_Ledger[[#This Row],[Tax Charged on Invoice]]</f>
        <v>90374.399999999994</v>
      </c>
    </row>
    <row r="68" spans="1:15" x14ac:dyDescent="0.3">
      <c r="A68" s="11"/>
      <c r="B68" s="93">
        <v>61</v>
      </c>
      <c r="C68" s="94">
        <v>46069</v>
      </c>
      <c r="D68" s="95" t="s">
        <v>381</v>
      </c>
      <c r="E68" s="95" t="s">
        <v>382</v>
      </c>
      <c r="F68" s="96" t="s">
        <v>201</v>
      </c>
      <c r="G68" s="96" t="s">
        <v>219</v>
      </c>
      <c r="H68" s="97">
        <v>8162</v>
      </c>
      <c r="I68" s="96" t="s">
        <v>383</v>
      </c>
      <c r="J68" s="97">
        <v>1632.4</v>
      </c>
      <c r="K68" s="92">
        <f>IF(INDEX(Cat_ChargesVAT,MATCH(tbl_Ledger[[#This Row],[Tax Category]],Cat_Codes,0))="No",0,tbl_Ledger[[#This Row],[Amount]]*VAT_Rate)</f>
        <v>1224.3</v>
      </c>
      <c r="L68" s="92">
        <f>IF(INDEX(Cat_ChargesVAT,MATCH(tbl_Ledger[[#This Row],[Tax Category]],Cat_Codes,0))="No",0,tbl_Ledger[[#This Row],[Amount]]*NHIL_Rate)</f>
        <v>204.05</v>
      </c>
      <c r="M68" s="92">
        <f>IF(INDEX(Cat_ChargesVAT,MATCH(tbl_Ledger[[#This Row],[Tax Category]],Cat_Codes,0))="No",0,tbl_Ledger[[#This Row],[Amount]]*GETFund_Rate)</f>
        <v>204.05</v>
      </c>
      <c r="N68" s="92">
        <f>tbl_Ledger[[#This Row],[Expected VAT]]+tbl_Ledger[[#This Row],[Expected NHIL]]+tbl_Ledger[[#This Row],[Expected GETFund]]</f>
        <v>1632.3999999999999</v>
      </c>
      <c r="O68" s="92">
        <f>tbl_Ledger[[#This Row],[Amount]]+tbl_Ledger[[#This Row],[Tax Charged on Invoice]]</f>
        <v>9794.4</v>
      </c>
    </row>
    <row r="69" spans="1:15" x14ac:dyDescent="0.3">
      <c r="A69" s="11"/>
      <c r="B69" s="93">
        <v>62</v>
      </c>
      <c r="C69" s="94">
        <v>46069</v>
      </c>
      <c r="D69" s="95" t="s">
        <v>384</v>
      </c>
      <c r="E69" s="95" t="s">
        <v>288</v>
      </c>
      <c r="F69" s="96" t="s">
        <v>182</v>
      </c>
      <c r="G69" s="96" t="s">
        <v>193</v>
      </c>
      <c r="H69" s="97">
        <v>128101</v>
      </c>
      <c r="I69" s="96" t="s">
        <v>385</v>
      </c>
      <c r="J69" s="97">
        <v>25620.2</v>
      </c>
      <c r="K69" s="92">
        <f>IF(INDEX(Cat_ChargesVAT,MATCH(tbl_Ledger[[#This Row],[Tax Category]],Cat_Codes,0))="No",0,tbl_Ledger[[#This Row],[Amount]]*VAT_Rate)</f>
        <v>19215.149999999998</v>
      </c>
      <c r="L69" s="92">
        <f>IF(INDEX(Cat_ChargesVAT,MATCH(tbl_Ledger[[#This Row],[Tax Category]],Cat_Codes,0))="No",0,tbl_Ledger[[#This Row],[Amount]]*NHIL_Rate)</f>
        <v>3202.5250000000001</v>
      </c>
      <c r="M69" s="92">
        <f>IF(INDEX(Cat_ChargesVAT,MATCH(tbl_Ledger[[#This Row],[Tax Category]],Cat_Codes,0))="No",0,tbl_Ledger[[#This Row],[Amount]]*GETFund_Rate)</f>
        <v>3202.5250000000001</v>
      </c>
      <c r="N69" s="92">
        <f>tbl_Ledger[[#This Row],[Expected VAT]]+tbl_Ledger[[#This Row],[Expected NHIL]]+tbl_Ledger[[#This Row],[Expected GETFund]]</f>
        <v>25620.2</v>
      </c>
      <c r="O69" s="92">
        <f>tbl_Ledger[[#This Row],[Amount]]+tbl_Ledger[[#This Row],[Tax Charged on Invoice]]</f>
        <v>153721.20000000001</v>
      </c>
    </row>
    <row r="70" spans="1:15" x14ac:dyDescent="0.3">
      <c r="A70" s="11"/>
      <c r="B70" s="93">
        <v>63</v>
      </c>
      <c r="C70" s="94">
        <v>46071</v>
      </c>
      <c r="D70" s="95" t="s">
        <v>386</v>
      </c>
      <c r="E70" s="95" t="s">
        <v>330</v>
      </c>
      <c r="F70" s="96" t="s">
        <v>201</v>
      </c>
      <c r="G70" s="96" t="s">
        <v>205</v>
      </c>
      <c r="H70" s="97">
        <v>26300</v>
      </c>
      <c r="I70" s="96" t="s">
        <v>387</v>
      </c>
      <c r="J70" s="97">
        <v>0</v>
      </c>
      <c r="K70" s="92">
        <f>IF(INDEX(Cat_ChargesVAT,MATCH(tbl_Ledger[[#This Row],[Tax Category]],Cat_Codes,0))="No",0,tbl_Ledger[[#This Row],[Amount]]*VAT_Rate)</f>
        <v>0</v>
      </c>
      <c r="L70" s="92">
        <f>IF(INDEX(Cat_ChargesVAT,MATCH(tbl_Ledger[[#This Row],[Tax Category]],Cat_Codes,0))="No",0,tbl_Ledger[[#This Row],[Amount]]*NHIL_Rate)</f>
        <v>0</v>
      </c>
      <c r="M70" s="92">
        <f>IF(INDEX(Cat_ChargesVAT,MATCH(tbl_Ledger[[#This Row],[Tax Category]],Cat_Codes,0))="No",0,tbl_Ledger[[#This Row],[Amount]]*GETFund_Rate)</f>
        <v>0</v>
      </c>
      <c r="N70" s="92">
        <f>tbl_Ledger[[#This Row],[Expected VAT]]+tbl_Ledger[[#This Row],[Expected NHIL]]+tbl_Ledger[[#This Row],[Expected GETFund]]</f>
        <v>0</v>
      </c>
      <c r="O70" s="92">
        <f>tbl_Ledger[[#This Row],[Amount]]+tbl_Ledger[[#This Row],[Tax Charged on Invoice]]</f>
        <v>26300</v>
      </c>
    </row>
    <row r="71" spans="1:15" x14ac:dyDescent="0.3">
      <c r="A71" s="11"/>
      <c r="B71" s="93">
        <v>64</v>
      </c>
      <c r="C71" s="94">
        <v>46072</v>
      </c>
      <c r="D71" s="95" t="s">
        <v>388</v>
      </c>
      <c r="E71" s="95" t="s">
        <v>389</v>
      </c>
      <c r="F71" s="96" t="s">
        <v>182</v>
      </c>
      <c r="G71" s="96" t="s">
        <v>179</v>
      </c>
      <c r="H71" s="97">
        <v>76477</v>
      </c>
      <c r="I71" s="96" t="s">
        <v>390</v>
      </c>
      <c r="J71" s="97">
        <v>15295.4</v>
      </c>
      <c r="K71" s="92">
        <f>IF(INDEX(Cat_ChargesVAT,MATCH(tbl_Ledger[[#This Row],[Tax Category]],Cat_Codes,0))="No",0,tbl_Ledger[[#This Row],[Amount]]*VAT_Rate)</f>
        <v>11471.55</v>
      </c>
      <c r="L71" s="92">
        <f>IF(INDEX(Cat_ChargesVAT,MATCH(tbl_Ledger[[#This Row],[Tax Category]],Cat_Codes,0))="No",0,tbl_Ledger[[#This Row],[Amount]]*NHIL_Rate)</f>
        <v>1911.9250000000002</v>
      </c>
      <c r="M71" s="92">
        <f>IF(INDEX(Cat_ChargesVAT,MATCH(tbl_Ledger[[#This Row],[Tax Category]],Cat_Codes,0))="No",0,tbl_Ledger[[#This Row],[Amount]]*GETFund_Rate)</f>
        <v>1911.9250000000002</v>
      </c>
      <c r="N71" s="92">
        <f>tbl_Ledger[[#This Row],[Expected VAT]]+tbl_Ledger[[#This Row],[Expected NHIL]]+tbl_Ledger[[#This Row],[Expected GETFund]]</f>
        <v>15295.399999999998</v>
      </c>
      <c r="O71" s="92">
        <f>tbl_Ledger[[#This Row],[Amount]]+tbl_Ledger[[#This Row],[Tax Charged on Invoice]]</f>
        <v>91772.4</v>
      </c>
    </row>
    <row r="72" spans="1:15" x14ac:dyDescent="0.3">
      <c r="A72" s="11"/>
      <c r="B72" s="93">
        <v>65</v>
      </c>
      <c r="C72" s="94">
        <v>46075</v>
      </c>
      <c r="D72" s="95" t="s">
        <v>391</v>
      </c>
      <c r="E72" s="95" t="s">
        <v>268</v>
      </c>
      <c r="F72" s="96" t="s">
        <v>201</v>
      </c>
      <c r="G72" s="96" t="s">
        <v>199</v>
      </c>
      <c r="H72" s="97">
        <v>52400</v>
      </c>
      <c r="I72" s="96" t="s">
        <v>392</v>
      </c>
      <c r="J72" s="97">
        <v>10480</v>
      </c>
      <c r="K72" s="92">
        <f>IF(INDEX(Cat_ChargesVAT,MATCH(tbl_Ledger[[#This Row],[Tax Category]],Cat_Codes,0))="No",0,tbl_Ledger[[#This Row],[Amount]]*VAT_Rate)</f>
        <v>7860</v>
      </c>
      <c r="L72" s="92">
        <f>IF(INDEX(Cat_ChargesVAT,MATCH(tbl_Ledger[[#This Row],[Tax Category]],Cat_Codes,0))="No",0,tbl_Ledger[[#This Row],[Amount]]*NHIL_Rate)</f>
        <v>1310</v>
      </c>
      <c r="M72" s="92">
        <f>IF(INDEX(Cat_ChargesVAT,MATCH(tbl_Ledger[[#This Row],[Tax Category]],Cat_Codes,0))="No",0,tbl_Ledger[[#This Row],[Amount]]*GETFund_Rate)</f>
        <v>1310</v>
      </c>
      <c r="N72" s="92">
        <f>tbl_Ledger[[#This Row],[Expected VAT]]+tbl_Ledger[[#This Row],[Expected NHIL]]+tbl_Ledger[[#This Row],[Expected GETFund]]</f>
        <v>10480</v>
      </c>
      <c r="O72" s="92">
        <f>tbl_Ledger[[#This Row],[Amount]]+tbl_Ledger[[#This Row],[Tax Charged on Invoice]]</f>
        <v>62880</v>
      </c>
    </row>
    <row r="73" spans="1:15" x14ac:dyDescent="0.3">
      <c r="A73" s="11"/>
      <c r="B73" s="93">
        <v>66</v>
      </c>
      <c r="C73" s="94">
        <v>46075</v>
      </c>
      <c r="D73" s="95" t="s">
        <v>393</v>
      </c>
      <c r="E73" s="95" t="s">
        <v>275</v>
      </c>
      <c r="F73" s="96" t="s">
        <v>201</v>
      </c>
      <c r="G73" s="96" t="s">
        <v>212</v>
      </c>
      <c r="H73" s="97">
        <v>65088</v>
      </c>
      <c r="I73" s="96" t="s">
        <v>394</v>
      </c>
      <c r="J73" s="97">
        <v>0</v>
      </c>
      <c r="K73" s="92">
        <f>IF(INDEX(Cat_ChargesVAT,MATCH(tbl_Ledger[[#This Row],[Tax Category]],Cat_Codes,0))="No",0,tbl_Ledger[[#This Row],[Amount]]*VAT_Rate)</f>
        <v>0</v>
      </c>
      <c r="L73" s="92">
        <f>IF(INDEX(Cat_ChargesVAT,MATCH(tbl_Ledger[[#This Row],[Tax Category]],Cat_Codes,0))="No",0,tbl_Ledger[[#This Row],[Amount]]*NHIL_Rate)</f>
        <v>0</v>
      </c>
      <c r="M73" s="92">
        <f>IF(INDEX(Cat_ChargesVAT,MATCH(tbl_Ledger[[#This Row],[Tax Category]],Cat_Codes,0))="No",0,tbl_Ledger[[#This Row],[Amount]]*GETFund_Rate)</f>
        <v>0</v>
      </c>
      <c r="N73" s="92">
        <f>tbl_Ledger[[#This Row],[Expected VAT]]+tbl_Ledger[[#This Row],[Expected NHIL]]+tbl_Ledger[[#This Row],[Expected GETFund]]</f>
        <v>0</v>
      </c>
      <c r="O73" s="92">
        <f>tbl_Ledger[[#This Row],[Amount]]+tbl_Ledger[[#This Row],[Tax Charged on Invoice]]</f>
        <v>65088</v>
      </c>
    </row>
    <row r="74" spans="1:15" x14ac:dyDescent="0.3">
      <c r="A74" s="11"/>
      <c r="B74" s="93">
        <v>67</v>
      </c>
      <c r="C74" s="94">
        <v>46078</v>
      </c>
      <c r="D74" s="95" t="s">
        <v>395</v>
      </c>
      <c r="E74" s="95" t="s">
        <v>313</v>
      </c>
      <c r="F74" s="96" t="s">
        <v>182</v>
      </c>
      <c r="G74" s="96" t="s">
        <v>179</v>
      </c>
      <c r="H74" s="97">
        <v>79479</v>
      </c>
      <c r="I74" s="96" t="s">
        <v>396</v>
      </c>
      <c r="J74" s="97">
        <v>15895.8</v>
      </c>
      <c r="K74" s="92">
        <f>IF(INDEX(Cat_ChargesVAT,MATCH(tbl_Ledger[[#This Row],[Tax Category]],Cat_Codes,0))="No",0,tbl_Ledger[[#This Row],[Amount]]*VAT_Rate)</f>
        <v>11921.85</v>
      </c>
      <c r="L74" s="92">
        <f>IF(INDEX(Cat_ChargesVAT,MATCH(tbl_Ledger[[#This Row],[Tax Category]],Cat_Codes,0))="No",0,tbl_Ledger[[#This Row],[Amount]]*NHIL_Rate)</f>
        <v>1986.9750000000001</v>
      </c>
      <c r="M74" s="92">
        <f>IF(INDEX(Cat_ChargesVAT,MATCH(tbl_Ledger[[#This Row],[Tax Category]],Cat_Codes,0))="No",0,tbl_Ledger[[#This Row],[Amount]]*GETFund_Rate)</f>
        <v>1986.9750000000001</v>
      </c>
      <c r="N74" s="92">
        <f>tbl_Ledger[[#This Row],[Expected VAT]]+tbl_Ledger[[#This Row],[Expected NHIL]]+tbl_Ledger[[#This Row],[Expected GETFund]]</f>
        <v>15895.800000000001</v>
      </c>
      <c r="O74" s="92">
        <f>tbl_Ledger[[#This Row],[Amount]]+tbl_Ledger[[#This Row],[Tax Charged on Invoice]]</f>
        <v>95374.8</v>
      </c>
    </row>
    <row r="75" spans="1:15" x14ac:dyDescent="0.3">
      <c r="A75" s="11"/>
      <c r="B75" s="93">
        <v>68</v>
      </c>
      <c r="C75" s="94">
        <v>46079</v>
      </c>
      <c r="D75" s="95" t="s">
        <v>397</v>
      </c>
      <c r="E75" s="95" t="s">
        <v>278</v>
      </c>
      <c r="F75" s="96" t="s">
        <v>201</v>
      </c>
      <c r="G75" s="96" t="s">
        <v>205</v>
      </c>
      <c r="H75" s="97">
        <v>2297</v>
      </c>
      <c r="I75" s="96" t="s">
        <v>398</v>
      </c>
      <c r="J75" s="97">
        <v>0</v>
      </c>
      <c r="K75" s="92">
        <f>IF(INDEX(Cat_ChargesVAT,MATCH(tbl_Ledger[[#This Row],[Tax Category]],Cat_Codes,0))="No",0,tbl_Ledger[[#This Row],[Amount]]*VAT_Rate)</f>
        <v>0</v>
      </c>
      <c r="L75" s="92">
        <f>IF(INDEX(Cat_ChargesVAT,MATCH(tbl_Ledger[[#This Row],[Tax Category]],Cat_Codes,0))="No",0,tbl_Ledger[[#This Row],[Amount]]*NHIL_Rate)</f>
        <v>0</v>
      </c>
      <c r="M75" s="92">
        <f>IF(INDEX(Cat_ChargesVAT,MATCH(tbl_Ledger[[#This Row],[Tax Category]],Cat_Codes,0))="No",0,tbl_Ledger[[#This Row],[Amount]]*GETFund_Rate)</f>
        <v>0</v>
      </c>
      <c r="N75" s="92">
        <f>tbl_Ledger[[#This Row],[Expected VAT]]+tbl_Ledger[[#This Row],[Expected NHIL]]+tbl_Ledger[[#This Row],[Expected GETFund]]</f>
        <v>0</v>
      </c>
      <c r="O75" s="92">
        <f>tbl_Ledger[[#This Row],[Amount]]+tbl_Ledger[[#This Row],[Tax Charged on Invoice]]</f>
        <v>2297</v>
      </c>
    </row>
    <row r="76" spans="1:15" x14ac:dyDescent="0.3">
      <c r="A76" s="11"/>
      <c r="B76" s="93">
        <v>69</v>
      </c>
      <c r="C76" s="94">
        <v>46080</v>
      </c>
      <c r="D76" s="95" t="s">
        <v>306</v>
      </c>
      <c r="E76" s="95" t="s">
        <v>307</v>
      </c>
      <c r="F76" s="96" t="s">
        <v>201</v>
      </c>
      <c r="G76" s="96" t="s">
        <v>219</v>
      </c>
      <c r="H76" s="97">
        <v>10268</v>
      </c>
      <c r="I76" s="96" t="s">
        <v>399</v>
      </c>
      <c r="J76" s="97">
        <v>2053.6</v>
      </c>
      <c r="K76" s="92">
        <f>IF(INDEX(Cat_ChargesVAT,MATCH(tbl_Ledger[[#This Row],[Tax Category]],Cat_Codes,0))="No",0,tbl_Ledger[[#This Row],[Amount]]*VAT_Rate)</f>
        <v>1540.2</v>
      </c>
      <c r="L76" s="92">
        <f>IF(INDEX(Cat_ChargesVAT,MATCH(tbl_Ledger[[#This Row],[Tax Category]],Cat_Codes,0))="No",0,tbl_Ledger[[#This Row],[Amount]]*NHIL_Rate)</f>
        <v>256.7</v>
      </c>
      <c r="M76" s="92">
        <f>IF(INDEX(Cat_ChargesVAT,MATCH(tbl_Ledger[[#This Row],[Tax Category]],Cat_Codes,0))="No",0,tbl_Ledger[[#This Row],[Amount]]*GETFund_Rate)</f>
        <v>256.7</v>
      </c>
      <c r="N76" s="92">
        <f>tbl_Ledger[[#This Row],[Expected VAT]]+tbl_Ledger[[#This Row],[Expected NHIL]]+tbl_Ledger[[#This Row],[Expected GETFund]]</f>
        <v>2053.6</v>
      </c>
      <c r="O76" s="92">
        <f>tbl_Ledger[[#This Row],[Amount]]+tbl_Ledger[[#This Row],[Tax Charged on Invoice]]</f>
        <v>12321.6</v>
      </c>
    </row>
    <row r="77" spans="1:15" x14ac:dyDescent="0.3">
      <c r="A77" s="11"/>
      <c r="B77" s="93">
        <v>70</v>
      </c>
      <c r="C77" s="94">
        <v>46080</v>
      </c>
      <c r="D77" s="95" t="s">
        <v>400</v>
      </c>
      <c r="E77" s="95" t="s">
        <v>313</v>
      </c>
      <c r="F77" s="96" t="s">
        <v>182</v>
      </c>
      <c r="G77" s="96" t="s">
        <v>179</v>
      </c>
      <c r="H77" s="97">
        <v>60662</v>
      </c>
      <c r="I77" s="96" t="s">
        <v>401</v>
      </c>
      <c r="J77" s="97">
        <v>12132.4</v>
      </c>
      <c r="K77" s="92">
        <f>IF(INDEX(Cat_ChargesVAT,MATCH(tbl_Ledger[[#This Row],[Tax Category]],Cat_Codes,0))="No",0,tbl_Ledger[[#This Row],[Amount]]*VAT_Rate)</f>
        <v>9099.2999999999993</v>
      </c>
      <c r="L77" s="92">
        <f>IF(INDEX(Cat_ChargesVAT,MATCH(tbl_Ledger[[#This Row],[Tax Category]],Cat_Codes,0))="No",0,tbl_Ledger[[#This Row],[Amount]]*NHIL_Rate)</f>
        <v>1516.5500000000002</v>
      </c>
      <c r="M77" s="92">
        <f>IF(INDEX(Cat_ChargesVAT,MATCH(tbl_Ledger[[#This Row],[Tax Category]],Cat_Codes,0))="No",0,tbl_Ledger[[#This Row],[Amount]]*GETFund_Rate)</f>
        <v>1516.5500000000002</v>
      </c>
      <c r="N77" s="92">
        <f>tbl_Ledger[[#This Row],[Expected VAT]]+tbl_Ledger[[#This Row],[Expected NHIL]]+tbl_Ledger[[#This Row],[Expected GETFund]]</f>
        <v>12132.399999999998</v>
      </c>
      <c r="O77" s="92">
        <f>tbl_Ledger[[#This Row],[Amount]]+tbl_Ledger[[#This Row],[Tax Charged on Invoice]]</f>
        <v>72794.399999999994</v>
      </c>
    </row>
    <row r="78" spans="1:15" x14ac:dyDescent="0.3">
      <c r="A78" s="11"/>
      <c r="B78" s="93">
        <v>71</v>
      </c>
      <c r="C78" s="94">
        <v>46081</v>
      </c>
      <c r="D78" s="95" t="s">
        <v>386</v>
      </c>
      <c r="E78" s="95" t="s">
        <v>330</v>
      </c>
      <c r="F78" s="96" t="s">
        <v>201</v>
      </c>
      <c r="G78" s="96" t="s">
        <v>205</v>
      </c>
      <c r="H78" s="97">
        <v>13913</v>
      </c>
      <c r="I78" s="96" t="s">
        <v>402</v>
      </c>
      <c r="J78" s="97">
        <v>0</v>
      </c>
      <c r="K78" s="92">
        <f>IF(INDEX(Cat_ChargesVAT,MATCH(tbl_Ledger[[#This Row],[Tax Category]],Cat_Codes,0))="No",0,tbl_Ledger[[#This Row],[Amount]]*VAT_Rate)</f>
        <v>0</v>
      </c>
      <c r="L78" s="92">
        <f>IF(INDEX(Cat_ChargesVAT,MATCH(tbl_Ledger[[#This Row],[Tax Category]],Cat_Codes,0))="No",0,tbl_Ledger[[#This Row],[Amount]]*NHIL_Rate)</f>
        <v>0</v>
      </c>
      <c r="M78" s="92">
        <f>IF(INDEX(Cat_ChargesVAT,MATCH(tbl_Ledger[[#This Row],[Tax Category]],Cat_Codes,0))="No",0,tbl_Ledger[[#This Row],[Amount]]*GETFund_Rate)</f>
        <v>0</v>
      </c>
      <c r="N78" s="92">
        <f>tbl_Ledger[[#This Row],[Expected VAT]]+tbl_Ledger[[#This Row],[Expected NHIL]]+tbl_Ledger[[#This Row],[Expected GETFund]]</f>
        <v>0</v>
      </c>
      <c r="O78" s="92">
        <f>tbl_Ledger[[#This Row],[Amount]]+tbl_Ledger[[#This Row],[Tax Charged on Invoice]]</f>
        <v>13913</v>
      </c>
    </row>
    <row r="79" spans="1:15" x14ac:dyDescent="0.3">
      <c r="A79" s="11"/>
      <c r="B79" s="93">
        <v>72</v>
      </c>
      <c r="C79" s="94">
        <v>46081</v>
      </c>
      <c r="D79" s="95" t="s">
        <v>403</v>
      </c>
      <c r="E79" s="95" t="s">
        <v>275</v>
      </c>
      <c r="F79" s="96" t="s">
        <v>201</v>
      </c>
      <c r="G79" s="96" t="s">
        <v>212</v>
      </c>
      <c r="H79" s="97">
        <v>81194</v>
      </c>
      <c r="I79" s="96" t="s">
        <v>404</v>
      </c>
      <c r="J79" s="97">
        <v>0</v>
      </c>
      <c r="K79" s="92">
        <f>IF(INDEX(Cat_ChargesVAT,MATCH(tbl_Ledger[[#This Row],[Tax Category]],Cat_Codes,0))="No",0,tbl_Ledger[[#This Row],[Amount]]*VAT_Rate)</f>
        <v>0</v>
      </c>
      <c r="L79" s="92">
        <f>IF(INDEX(Cat_ChargesVAT,MATCH(tbl_Ledger[[#This Row],[Tax Category]],Cat_Codes,0))="No",0,tbl_Ledger[[#This Row],[Amount]]*NHIL_Rate)</f>
        <v>0</v>
      </c>
      <c r="M79" s="92">
        <f>IF(INDEX(Cat_ChargesVAT,MATCH(tbl_Ledger[[#This Row],[Tax Category]],Cat_Codes,0))="No",0,tbl_Ledger[[#This Row],[Amount]]*GETFund_Rate)</f>
        <v>0</v>
      </c>
      <c r="N79" s="92">
        <f>tbl_Ledger[[#This Row],[Expected VAT]]+tbl_Ledger[[#This Row],[Expected NHIL]]+tbl_Ledger[[#This Row],[Expected GETFund]]</f>
        <v>0</v>
      </c>
      <c r="O79" s="92">
        <f>tbl_Ledger[[#This Row],[Amount]]+tbl_Ledger[[#This Row],[Tax Charged on Invoice]]</f>
        <v>81194</v>
      </c>
    </row>
    <row r="80" spans="1:15" x14ac:dyDescent="0.3">
      <c r="A80" s="11"/>
      <c r="B80" s="93">
        <v>73</v>
      </c>
      <c r="C80" s="94">
        <v>46081</v>
      </c>
      <c r="D80" s="95" t="s">
        <v>405</v>
      </c>
      <c r="E80" s="95" t="s">
        <v>345</v>
      </c>
      <c r="F80" s="96" t="s">
        <v>201</v>
      </c>
      <c r="G80" s="96" t="s">
        <v>212</v>
      </c>
      <c r="H80" s="97">
        <v>87276</v>
      </c>
      <c r="I80" s="96" t="s">
        <v>406</v>
      </c>
      <c r="J80" s="97">
        <v>0</v>
      </c>
      <c r="K80" s="92">
        <f>IF(INDEX(Cat_ChargesVAT,MATCH(tbl_Ledger[[#This Row],[Tax Category]],Cat_Codes,0))="No",0,tbl_Ledger[[#This Row],[Amount]]*VAT_Rate)</f>
        <v>0</v>
      </c>
      <c r="L80" s="92">
        <f>IF(INDEX(Cat_ChargesVAT,MATCH(tbl_Ledger[[#This Row],[Tax Category]],Cat_Codes,0))="No",0,tbl_Ledger[[#This Row],[Amount]]*NHIL_Rate)</f>
        <v>0</v>
      </c>
      <c r="M80" s="92">
        <f>IF(INDEX(Cat_ChargesVAT,MATCH(tbl_Ledger[[#This Row],[Tax Category]],Cat_Codes,0))="No",0,tbl_Ledger[[#This Row],[Amount]]*GETFund_Rate)</f>
        <v>0</v>
      </c>
      <c r="N80" s="92">
        <f>tbl_Ledger[[#This Row],[Expected VAT]]+tbl_Ledger[[#This Row],[Expected NHIL]]+tbl_Ledger[[#This Row],[Expected GETFund]]</f>
        <v>0</v>
      </c>
      <c r="O80" s="92">
        <f>tbl_Ledger[[#This Row],[Amount]]+tbl_Ledger[[#This Row],[Tax Charged on Invoice]]</f>
        <v>87276</v>
      </c>
    </row>
    <row r="81" spans="1:15" x14ac:dyDescent="0.3">
      <c r="A81" s="11"/>
      <c r="B81" s="93">
        <v>74</v>
      </c>
      <c r="C81" s="94">
        <v>46081</v>
      </c>
      <c r="D81" s="95" t="s">
        <v>407</v>
      </c>
      <c r="E81" s="95" t="s">
        <v>250</v>
      </c>
      <c r="F81" s="96" t="s">
        <v>182</v>
      </c>
      <c r="G81" s="96" t="s">
        <v>179</v>
      </c>
      <c r="H81" s="97">
        <v>34014</v>
      </c>
      <c r="I81" s="96" t="s">
        <v>408</v>
      </c>
      <c r="J81" s="97">
        <v>6802.8</v>
      </c>
      <c r="K81" s="92">
        <f>IF(INDEX(Cat_ChargesVAT,MATCH(tbl_Ledger[[#This Row],[Tax Category]],Cat_Codes,0))="No",0,tbl_Ledger[[#This Row],[Amount]]*VAT_Rate)</f>
        <v>5102.0999999999995</v>
      </c>
      <c r="L81" s="92">
        <f>IF(INDEX(Cat_ChargesVAT,MATCH(tbl_Ledger[[#This Row],[Tax Category]],Cat_Codes,0))="No",0,tbl_Ledger[[#This Row],[Amount]]*NHIL_Rate)</f>
        <v>850.35</v>
      </c>
      <c r="M81" s="92">
        <f>IF(INDEX(Cat_ChargesVAT,MATCH(tbl_Ledger[[#This Row],[Tax Category]],Cat_Codes,0))="No",0,tbl_Ledger[[#This Row],[Amount]]*GETFund_Rate)</f>
        <v>850.35</v>
      </c>
      <c r="N81" s="92">
        <f>tbl_Ledger[[#This Row],[Expected VAT]]+tbl_Ledger[[#This Row],[Expected NHIL]]+tbl_Ledger[[#This Row],[Expected GETFund]]</f>
        <v>6802.8</v>
      </c>
      <c r="O81" s="92">
        <f>tbl_Ledger[[#This Row],[Amount]]+tbl_Ledger[[#This Row],[Tax Charged on Invoice]]</f>
        <v>40816.800000000003</v>
      </c>
    </row>
    <row r="82" spans="1:15" x14ac:dyDescent="0.3">
      <c r="A82" s="11"/>
      <c r="B82" s="93">
        <v>75</v>
      </c>
      <c r="C82" s="94">
        <v>46082</v>
      </c>
      <c r="D82" s="95" t="s">
        <v>317</v>
      </c>
      <c r="E82" s="95" t="s">
        <v>278</v>
      </c>
      <c r="F82" s="96" t="s">
        <v>201</v>
      </c>
      <c r="G82" s="96" t="s">
        <v>205</v>
      </c>
      <c r="H82" s="97">
        <v>2245</v>
      </c>
      <c r="I82" s="96" t="s">
        <v>409</v>
      </c>
      <c r="J82" s="97">
        <v>0</v>
      </c>
      <c r="K82" s="92">
        <f>IF(INDEX(Cat_ChargesVAT,MATCH(tbl_Ledger[[#This Row],[Tax Category]],Cat_Codes,0))="No",0,tbl_Ledger[[#This Row],[Amount]]*VAT_Rate)</f>
        <v>0</v>
      </c>
      <c r="L82" s="92">
        <f>IF(INDEX(Cat_ChargesVAT,MATCH(tbl_Ledger[[#This Row],[Tax Category]],Cat_Codes,0))="No",0,tbl_Ledger[[#This Row],[Amount]]*NHIL_Rate)</f>
        <v>0</v>
      </c>
      <c r="M82" s="92">
        <f>IF(INDEX(Cat_ChargesVAT,MATCH(tbl_Ledger[[#This Row],[Tax Category]],Cat_Codes,0))="No",0,tbl_Ledger[[#This Row],[Amount]]*GETFund_Rate)</f>
        <v>0</v>
      </c>
      <c r="N82" s="92">
        <f>tbl_Ledger[[#This Row],[Expected VAT]]+tbl_Ledger[[#This Row],[Expected NHIL]]+tbl_Ledger[[#This Row],[Expected GETFund]]</f>
        <v>0</v>
      </c>
      <c r="O82" s="92">
        <f>tbl_Ledger[[#This Row],[Amount]]+tbl_Ledger[[#This Row],[Tax Charged on Invoice]]</f>
        <v>2245</v>
      </c>
    </row>
    <row r="83" spans="1:15" x14ac:dyDescent="0.3">
      <c r="A83" s="11"/>
      <c r="B83" s="93">
        <v>76</v>
      </c>
      <c r="C83" s="94">
        <v>46082</v>
      </c>
      <c r="D83" s="95" t="s">
        <v>410</v>
      </c>
      <c r="E83" s="95" t="s">
        <v>268</v>
      </c>
      <c r="F83" s="96" t="s">
        <v>201</v>
      </c>
      <c r="G83" s="96" t="s">
        <v>205</v>
      </c>
      <c r="H83" s="97">
        <v>32619</v>
      </c>
      <c r="I83" s="96" t="s">
        <v>411</v>
      </c>
      <c r="J83" s="97">
        <v>0</v>
      </c>
      <c r="K83" s="92">
        <f>IF(INDEX(Cat_ChargesVAT,MATCH(tbl_Ledger[[#This Row],[Tax Category]],Cat_Codes,0))="No",0,tbl_Ledger[[#This Row],[Amount]]*VAT_Rate)</f>
        <v>0</v>
      </c>
      <c r="L83" s="92">
        <f>IF(INDEX(Cat_ChargesVAT,MATCH(tbl_Ledger[[#This Row],[Tax Category]],Cat_Codes,0))="No",0,tbl_Ledger[[#This Row],[Amount]]*NHIL_Rate)</f>
        <v>0</v>
      </c>
      <c r="M83" s="92">
        <f>IF(INDEX(Cat_ChargesVAT,MATCH(tbl_Ledger[[#This Row],[Tax Category]],Cat_Codes,0))="No",0,tbl_Ledger[[#This Row],[Amount]]*GETFund_Rate)</f>
        <v>0</v>
      </c>
      <c r="N83" s="92">
        <f>tbl_Ledger[[#This Row],[Expected VAT]]+tbl_Ledger[[#This Row],[Expected NHIL]]+tbl_Ledger[[#This Row],[Expected GETFund]]</f>
        <v>0</v>
      </c>
      <c r="O83" s="92">
        <f>tbl_Ledger[[#This Row],[Amount]]+tbl_Ledger[[#This Row],[Tax Charged on Invoice]]</f>
        <v>32619</v>
      </c>
    </row>
    <row r="84" spans="1:15" x14ac:dyDescent="0.3">
      <c r="A84" s="11"/>
      <c r="B84" s="93">
        <v>77</v>
      </c>
      <c r="C84" s="94">
        <v>46082</v>
      </c>
      <c r="D84" s="95" t="s">
        <v>255</v>
      </c>
      <c r="E84" s="95" t="s">
        <v>412</v>
      </c>
      <c r="F84" s="96" t="s">
        <v>201</v>
      </c>
      <c r="G84" s="96" t="s">
        <v>199</v>
      </c>
      <c r="H84" s="97">
        <v>3413</v>
      </c>
      <c r="I84" s="96" t="s">
        <v>413</v>
      </c>
      <c r="J84" s="97">
        <v>682.6</v>
      </c>
      <c r="K84" s="92">
        <f>IF(INDEX(Cat_ChargesVAT,MATCH(tbl_Ledger[[#This Row],[Tax Category]],Cat_Codes,0))="No",0,tbl_Ledger[[#This Row],[Amount]]*VAT_Rate)</f>
        <v>511.95</v>
      </c>
      <c r="L84" s="92">
        <f>IF(INDEX(Cat_ChargesVAT,MATCH(tbl_Ledger[[#This Row],[Tax Category]],Cat_Codes,0))="No",0,tbl_Ledger[[#This Row],[Amount]]*NHIL_Rate)</f>
        <v>85.325000000000003</v>
      </c>
      <c r="M84" s="92">
        <f>IF(INDEX(Cat_ChargesVAT,MATCH(tbl_Ledger[[#This Row],[Tax Category]],Cat_Codes,0))="No",0,tbl_Ledger[[#This Row],[Amount]]*GETFund_Rate)</f>
        <v>85.325000000000003</v>
      </c>
      <c r="N84" s="92">
        <f>tbl_Ledger[[#This Row],[Expected VAT]]+tbl_Ledger[[#This Row],[Expected NHIL]]+tbl_Ledger[[#This Row],[Expected GETFund]]</f>
        <v>682.6</v>
      </c>
      <c r="O84" s="92">
        <f>tbl_Ledger[[#This Row],[Amount]]+tbl_Ledger[[#This Row],[Tax Charged on Invoice]]</f>
        <v>4095.6</v>
      </c>
    </row>
    <row r="85" spans="1:15" x14ac:dyDescent="0.3">
      <c r="A85" s="11"/>
      <c r="B85" s="93">
        <v>78</v>
      </c>
      <c r="C85" s="94">
        <v>46083</v>
      </c>
      <c r="D85" s="95" t="s">
        <v>414</v>
      </c>
      <c r="E85" s="95" t="s">
        <v>253</v>
      </c>
      <c r="F85" s="96" t="s">
        <v>182</v>
      </c>
      <c r="G85" s="96" t="s">
        <v>179</v>
      </c>
      <c r="H85" s="97">
        <v>54673</v>
      </c>
      <c r="I85" s="96" t="s">
        <v>415</v>
      </c>
      <c r="J85" s="97">
        <v>10934.6</v>
      </c>
      <c r="K85" s="92">
        <f>IF(INDEX(Cat_ChargesVAT,MATCH(tbl_Ledger[[#This Row],[Tax Category]],Cat_Codes,0))="No",0,tbl_Ledger[[#This Row],[Amount]]*VAT_Rate)</f>
        <v>8200.9499999999989</v>
      </c>
      <c r="L85" s="92">
        <f>IF(INDEX(Cat_ChargesVAT,MATCH(tbl_Ledger[[#This Row],[Tax Category]],Cat_Codes,0))="No",0,tbl_Ledger[[#This Row],[Amount]]*NHIL_Rate)</f>
        <v>1366.825</v>
      </c>
      <c r="M85" s="92">
        <f>IF(INDEX(Cat_ChargesVAT,MATCH(tbl_Ledger[[#This Row],[Tax Category]],Cat_Codes,0))="No",0,tbl_Ledger[[#This Row],[Amount]]*GETFund_Rate)</f>
        <v>1366.825</v>
      </c>
      <c r="N85" s="92">
        <f>tbl_Ledger[[#This Row],[Expected VAT]]+tbl_Ledger[[#This Row],[Expected NHIL]]+tbl_Ledger[[#This Row],[Expected GETFund]]</f>
        <v>10934.6</v>
      </c>
      <c r="O85" s="92">
        <f>tbl_Ledger[[#This Row],[Amount]]+tbl_Ledger[[#This Row],[Tax Charged on Invoice]]</f>
        <v>65607.600000000006</v>
      </c>
    </row>
    <row r="86" spans="1:15" x14ac:dyDescent="0.3">
      <c r="A86" s="11"/>
      <c r="B86" s="93">
        <v>79</v>
      </c>
      <c r="C86" s="94">
        <v>46086</v>
      </c>
      <c r="D86" s="95" t="s">
        <v>407</v>
      </c>
      <c r="E86" s="95" t="s">
        <v>288</v>
      </c>
      <c r="F86" s="96" t="s">
        <v>182</v>
      </c>
      <c r="G86" s="96" t="s">
        <v>179</v>
      </c>
      <c r="H86" s="97">
        <v>52667</v>
      </c>
      <c r="I86" s="96" t="s">
        <v>416</v>
      </c>
      <c r="J86" s="97">
        <v>10533.4</v>
      </c>
      <c r="K86" s="92">
        <f>IF(INDEX(Cat_ChargesVAT,MATCH(tbl_Ledger[[#This Row],[Tax Category]],Cat_Codes,0))="No",0,tbl_Ledger[[#This Row],[Amount]]*VAT_Rate)</f>
        <v>7900.0499999999993</v>
      </c>
      <c r="L86" s="92">
        <f>IF(INDEX(Cat_ChargesVAT,MATCH(tbl_Ledger[[#This Row],[Tax Category]],Cat_Codes,0))="No",0,tbl_Ledger[[#This Row],[Amount]]*NHIL_Rate)</f>
        <v>1316.6750000000002</v>
      </c>
      <c r="M86" s="92">
        <f>IF(INDEX(Cat_ChargesVAT,MATCH(tbl_Ledger[[#This Row],[Tax Category]],Cat_Codes,0))="No",0,tbl_Ledger[[#This Row],[Amount]]*GETFund_Rate)</f>
        <v>1316.6750000000002</v>
      </c>
      <c r="N86" s="92">
        <f>tbl_Ledger[[#This Row],[Expected VAT]]+tbl_Ledger[[#This Row],[Expected NHIL]]+tbl_Ledger[[#This Row],[Expected GETFund]]</f>
        <v>10533.399999999998</v>
      </c>
      <c r="O86" s="92">
        <f>tbl_Ledger[[#This Row],[Amount]]+tbl_Ledger[[#This Row],[Tax Charged on Invoice]]</f>
        <v>63200.4</v>
      </c>
    </row>
    <row r="87" spans="1:15" x14ac:dyDescent="0.3">
      <c r="A87" s="11"/>
      <c r="B87" s="93">
        <v>80</v>
      </c>
      <c r="C87" s="94">
        <v>46087</v>
      </c>
      <c r="D87" s="95" t="s">
        <v>342</v>
      </c>
      <c r="E87" s="95" t="s">
        <v>417</v>
      </c>
      <c r="F87" s="96" t="s">
        <v>201</v>
      </c>
      <c r="G87" s="96" t="s">
        <v>199</v>
      </c>
      <c r="H87" s="97">
        <v>4275</v>
      </c>
      <c r="I87" s="96" t="s">
        <v>418</v>
      </c>
      <c r="J87" s="97">
        <v>855</v>
      </c>
      <c r="K87" s="92">
        <f>IF(INDEX(Cat_ChargesVAT,MATCH(tbl_Ledger[[#This Row],[Tax Category]],Cat_Codes,0))="No",0,tbl_Ledger[[#This Row],[Amount]]*VAT_Rate)</f>
        <v>641.25</v>
      </c>
      <c r="L87" s="92">
        <f>IF(INDEX(Cat_ChargesVAT,MATCH(tbl_Ledger[[#This Row],[Tax Category]],Cat_Codes,0))="No",0,tbl_Ledger[[#This Row],[Amount]]*NHIL_Rate)</f>
        <v>106.875</v>
      </c>
      <c r="M87" s="92">
        <f>IF(INDEX(Cat_ChargesVAT,MATCH(tbl_Ledger[[#This Row],[Tax Category]],Cat_Codes,0))="No",0,tbl_Ledger[[#This Row],[Amount]]*GETFund_Rate)</f>
        <v>106.875</v>
      </c>
      <c r="N87" s="92">
        <f>tbl_Ledger[[#This Row],[Expected VAT]]+tbl_Ledger[[#This Row],[Expected NHIL]]+tbl_Ledger[[#This Row],[Expected GETFund]]</f>
        <v>855</v>
      </c>
      <c r="O87" s="92">
        <f>tbl_Ledger[[#This Row],[Amount]]+tbl_Ledger[[#This Row],[Tax Charged on Invoice]]</f>
        <v>5130</v>
      </c>
    </row>
    <row r="88" spans="1:15" x14ac:dyDescent="0.3">
      <c r="A88" s="11"/>
      <c r="B88" s="93">
        <v>81</v>
      </c>
      <c r="C88" s="94">
        <v>46088</v>
      </c>
      <c r="D88" s="95" t="s">
        <v>317</v>
      </c>
      <c r="E88" s="95" t="s">
        <v>318</v>
      </c>
      <c r="F88" s="96" t="s">
        <v>201</v>
      </c>
      <c r="G88" s="96" t="s">
        <v>205</v>
      </c>
      <c r="H88" s="97">
        <v>2664</v>
      </c>
      <c r="I88" s="96" t="s">
        <v>419</v>
      </c>
      <c r="J88" s="97">
        <v>0</v>
      </c>
      <c r="K88" s="92">
        <f>IF(INDEX(Cat_ChargesVAT,MATCH(tbl_Ledger[[#This Row],[Tax Category]],Cat_Codes,0))="No",0,tbl_Ledger[[#This Row],[Amount]]*VAT_Rate)</f>
        <v>0</v>
      </c>
      <c r="L88" s="92">
        <f>IF(INDEX(Cat_ChargesVAT,MATCH(tbl_Ledger[[#This Row],[Tax Category]],Cat_Codes,0))="No",0,tbl_Ledger[[#This Row],[Amount]]*NHIL_Rate)</f>
        <v>0</v>
      </c>
      <c r="M88" s="92">
        <f>IF(INDEX(Cat_ChargesVAT,MATCH(tbl_Ledger[[#This Row],[Tax Category]],Cat_Codes,0))="No",0,tbl_Ledger[[#This Row],[Amount]]*GETFund_Rate)</f>
        <v>0</v>
      </c>
      <c r="N88" s="92">
        <f>tbl_Ledger[[#This Row],[Expected VAT]]+tbl_Ledger[[#This Row],[Expected NHIL]]+tbl_Ledger[[#This Row],[Expected GETFund]]</f>
        <v>0</v>
      </c>
      <c r="O88" s="92">
        <f>tbl_Ledger[[#This Row],[Amount]]+tbl_Ledger[[#This Row],[Tax Charged on Invoice]]</f>
        <v>2664</v>
      </c>
    </row>
    <row r="89" spans="1:15" x14ac:dyDescent="0.3">
      <c r="A89" s="11"/>
      <c r="B89" s="93">
        <v>82</v>
      </c>
      <c r="C89" s="94">
        <v>46090</v>
      </c>
      <c r="D89" s="95" t="s">
        <v>420</v>
      </c>
      <c r="E89" s="95" t="s">
        <v>268</v>
      </c>
      <c r="F89" s="96" t="s">
        <v>201</v>
      </c>
      <c r="G89" s="96" t="s">
        <v>205</v>
      </c>
      <c r="H89" s="97">
        <v>67396</v>
      </c>
      <c r="I89" s="96" t="s">
        <v>421</v>
      </c>
      <c r="J89" s="97">
        <v>0</v>
      </c>
      <c r="K89" s="92">
        <f>IF(INDEX(Cat_ChargesVAT,MATCH(tbl_Ledger[[#This Row],[Tax Category]],Cat_Codes,0))="No",0,tbl_Ledger[[#This Row],[Amount]]*VAT_Rate)</f>
        <v>0</v>
      </c>
      <c r="L89" s="92">
        <f>IF(INDEX(Cat_ChargesVAT,MATCH(tbl_Ledger[[#This Row],[Tax Category]],Cat_Codes,0))="No",0,tbl_Ledger[[#This Row],[Amount]]*NHIL_Rate)</f>
        <v>0</v>
      </c>
      <c r="M89" s="92">
        <f>IF(INDEX(Cat_ChargesVAT,MATCH(tbl_Ledger[[#This Row],[Tax Category]],Cat_Codes,0))="No",0,tbl_Ledger[[#This Row],[Amount]]*GETFund_Rate)</f>
        <v>0</v>
      </c>
      <c r="N89" s="92">
        <f>tbl_Ledger[[#This Row],[Expected VAT]]+tbl_Ledger[[#This Row],[Expected NHIL]]+tbl_Ledger[[#This Row],[Expected GETFund]]</f>
        <v>0</v>
      </c>
      <c r="O89" s="92">
        <f>tbl_Ledger[[#This Row],[Amount]]+tbl_Ledger[[#This Row],[Tax Charged on Invoice]]</f>
        <v>67396</v>
      </c>
    </row>
    <row r="90" spans="1:15" x14ac:dyDescent="0.3">
      <c r="A90" s="11"/>
      <c r="B90" s="93">
        <v>83</v>
      </c>
      <c r="C90" s="94">
        <v>46090</v>
      </c>
      <c r="D90" s="95" t="s">
        <v>422</v>
      </c>
      <c r="E90" s="95" t="s">
        <v>250</v>
      </c>
      <c r="F90" s="96" t="s">
        <v>182</v>
      </c>
      <c r="G90" s="96" t="s">
        <v>179</v>
      </c>
      <c r="H90" s="97">
        <v>57546</v>
      </c>
      <c r="I90" s="96" t="s">
        <v>423</v>
      </c>
      <c r="J90" s="97">
        <v>11509.2</v>
      </c>
      <c r="K90" s="92">
        <f>IF(INDEX(Cat_ChargesVAT,MATCH(tbl_Ledger[[#This Row],[Tax Category]],Cat_Codes,0))="No",0,tbl_Ledger[[#This Row],[Amount]]*VAT_Rate)</f>
        <v>8631.9</v>
      </c>
      <c r="L90" s="92">
        <f>IF(INDEX(Cat_ChargesVAT,MATCH(tbl_Ledger[[#This Row],[Tax Category]],Cat_Codes,0))="No",0,tbl_Ledger[[#This Row],[Amount]]*NHIL_Rate)</f>
        <v>1438.65</v>
      </c>
      <c r="M90" s="92">
        <f>IF(INDEX(Cat_ChargesVAT,MATCH(tbl_Ledger[[#This Row],[Tax Category]],Cat_Codes,0))="No",0,tbl_Ledger[[#This Row],[Amount]]*GETFund_Rate)</f>
        <v>1438.65</v>
      </c>
      <c r="N90" s="92">
        <f>tbl_Ledger[[#This Row],[Expected VAT]]+tbl_Ledger[[#This Row],[Expected NHIL]]+tbl_Ledger[[#This Row],[Expected GETFund]]</f>
        <v>11509.199999999999</v>
      </c>
      <c r="O90" s="92">
        <f>tbl_Ledger[[#This Row],[Amount]]+tbl_Ledger[[#This Row],[Tax Charged on Invoice]]</f>
        <v>69055.199999999997</v>
      </c>
    </row>
    <row r="91" spans="1:15" x14ac:dyDescent="0.3">
      <c r="A91" s="11"/>
      <c r="B91" s="93">
        <v>84</v>
      </c>
      <c r="C91" s="94">
        <v>46091</v>
      </c>
      <c r="D91" s="95" t="s">
        <v>424</v>
      </c>
      <c r="E91" s="95" t="s">
        <v>253</v>
      </c>
      <c r="F91" s="96" t="s">
        <v>182</v>
      </c>
      <c r="G91" s="96" t="s">
        <v>193</v>
      </c>
      <c r="H91" s="97">
        <v>139147</v>
      </c>
      <c r="I91" s="96" t="s">
        <v>425</v>
      </c>
      <c r="J91" s="97">
        <v>27829.4</v>
      </c>
      <c r="K91" s="92">
        <f>IF(INDEX(Cat_ChargesVAT,MATCH(tbl_Ledger[[#This Row],[Tax Category]],Cat_Codes,0))="No",0,tbl_Ledger[[#This Row],[Amount]]*VAT_Rate)</f>
        <v>20872.05</v>
      </c>
      <c r="L91" s="92">
        <f>IF(INDEX(Cat_ChargesVAT,MATCH(tbl_Ledger[[#This Row],[Tax Category]],Cat_Codes,0))="No",0,tbl_Ledger[[#This Row],[Amount]]*NHIL_Rate)</f>
        <v>3478.6750000000002</v>
      </c>
      <c r="M91" s="92">
        <f>IF(INDEX(Cat_ChargesVAT,MATCH(tbl_Ledger[[#This Row],[Tax Category]],Cat_Codes,0))="No",0,tbl_Ledger[[#This Row],[Amount]]*GETFund_Rate)</f>
        <v>3478.6750000000002</v>
      </c>
      <c r="N91" s="92">
        <f>tbl_Ledger[[#This Row],[Expected VAT]]+tbl_Ledger[[#This Row],[Expected NHIL]]+tbl_Ledger[[#This Row],[Expected GETFund]]</f>
        <v>27829.399999999998</v>
      </c>
      <c r="O91" s="92">
        <f>tbl_Ledger[[#This Row],[Amount]]+tbl_Ledger[[#This Row],[Tax Charged on Invoice]]</f>
        <v>166976.4</v>
      </c>
    </row>
    <row r="92" spans="1:15" x14ac:dyDescent="0.3">
      <c r="A92" s="11"/>
      <c r="B92" s="93">
        <v>85</v>
      </c>
      <c r="C92" s="94">
        <v>46092</v>
      </c>
      <c r="D92" s="95" t="s">
        <v>426</v>
      </c>
      <c r="E92" s="95" t="s">
        <v>275</v>
      </c>
      <c r="F92" s="96" t="s">
        <v>201</v>
      </c>
      <c r="G92" s="96" t="s">
        <v>212</v>
      </c>
      <c r="H92" s="97">
        <v>16600</v>
      </c>
      <c r="I92" s="96" t="s">
        <v>427</v>
      </c>
      <c r="J92" s="97">
        <v>0</v>
      </c>
      <c r="K92" s="92">
        <f>IF(INDEX(Cat_ChargesVAT,MATCH(tbl_Ledger[[#This Row],[Tax Category]],Cat_Codes,0))="No",0,tbl_Ledger[[#This Row],[Amount]]*VAT_Rate)</f>
        <v>0</v>
      </c>
      <c r="L92" s="92">
        <f>IF(INDEX(Cat_ChargesVAT,MATCH(tbl_Ledger[[#This Row],[Tax Category]],Cat_Codes,0))="No",0,tbl_Ledger[[#This Row],[Amount]]*NHIL_Rate)</f>
        <v>0</v>
      </c>
      <c r="M92" s="92">
        <f>IF(INDEX(Cat_ChargesVAT,MATCH(tbl_Ledger[[#This Row],[Tax Category]],Cat_Codes,0))="No",0,tbl_Ledger[[#This Row],[Amount]]*GETFund_Rate)</f>
        <v>0</v>
      </c>
      <c r="N92" s="92">
        <f>tbl_Ledger[[#This Row],[Expected VAT]]+tbl_Ledger[[#This Row],[Expected NHIL]]+tbl_Ledger[[#This Row],[Expected GETFund]]</f>
        <v>0</v>
      </c>
      <c r="O92" s="92">
        <f>tbl_Ledger[[#This Row],[Amount]]+tbl_Ledger[[#This Row],[Tax Charged on Invoice]]</f>
        <v>16600</v>
      </c>
    </row>
    <row r="93" spans="1:15" x14ac:dyDescent="0.3">
      <c r="A93" s="11"/>
      <c r="B93" s="93">
        <v>86</v>
      </c>
      <c r="C93" s="94">
        <v>46093</v>
      </c>
      <c r="D93" s="95" t="s">
        <v>338</v>
      </c>
      <c r="E93" s="95" t="s">
        <v>278</v>
      </c>
      <c r="F93" s="96" t="s">
        <v>201</v>
      </c>
      <c r="G93" s="96" t="s">
        <v>205</v>
      </c>
      <c r="H93" s="97">
        <v>3332</v>
      </c>
      <c r="I93" s="96" t="s">
        <v>428</v>
      </c>
      <c r="J93" s="97">
        <v>0</v>
      </c>
      <c r="K93" s="92">
        <f>IF(INDEX(Cat_ChargesVAT,MATCH(tbl_Ledger[[#This Row],[Tax Category]],Cat_Codes,0))="No",0,tbl_Ledger[[#This Row],[Amount]]*VAT_Rate)</f>
        <v>0</v>
      </c>
      <c r="L93" s="92">
        <f>IF(INDEX(Cat_ChargesVAT,MATCH(tbl_Ledger[[#This Row],[Tax Category]],Cat_Codes,0))="No",0,tbl_Ledger[[#This Row],[Amount]]*NHIL_Rate)</f>
        <v>0</v>
      </c>
      <c r="M93" s="92">
        <f>IF(INDEX(Cat_ChargesVAT,MATCH(tbl_Ledger[[#This Row],[Tax Category]],Cat_Codes,0))="No",0,tbl_Ledger[[#This Row],[Amount]]*GETFund_Rate)</f>
        <v>0</v>
      </c>
      <c r="N93" s="92">
        <f>tbl_Ledger[[#This Row],[Expected VAT]]+tbl_Ledger[[#This Row],[Expected NHIL]]+tbl_Ledger[[#This Row],[Expected GETFund]]</f>
        <v>0</v>
      </c>
      <c r="O93" s="92">
        <f>tbl_Ledger[[#This Row],[Amount]]+tbl_Ledger[[#This Row],[Tax Charged on Invoice]]</f>
        <v>3332</v>
      </c>
    </row>
    <row r="94" spans="1:15" x14ac:dyDescent="0.3">
      <c r="A94" s="11"/>
      <c r="B94" s="93">
        <v>87</v>
      </c>
      <c r="C94" s="94">
        <v>46093</v>
      </c>
      <c r="D94" s="95" t="s">
        <v>290</v>
      </c>
      <c r="E94" s="95" t="s">
        <v>429</v>
      </c>
      <c r="F94" s="96" t="s">
        <v>201</v>
      </c>
      <c r="G94" s="96" t="s">
        <v>199</v>
      </c>
      <c r="H94" s="97">
        <v>8860</v>
      </c>
      <c r="I94" s="96" t="s">
        <v>430</v>
      </c>
      <c r="J94" s="97">
        <v>1772</v>
      </c>
      <c r="K94" s="92">
        <f>IF(INDEX(Cat_ChargesVAT,MATCH(tbl_Ledger[[#This Row],[Tax Category]],Cat_Codes,0))="No",0,tbl_Ledger[[#This Row],[Amount]]*VAT_Rate)</f>
        <v>1329</v>
      </c>
      <c r="L94" s="92">
        <f>IF(INDEX(Cat_ChargesVAT,MATCH(tbl_Ledger[[#This Row],[Tax Category]],Cat_Codes,0))="No",0,tbl_Ledger[[#This Row],[Amount]]*NHIL_Rate)</f>
        <v>221.5</v>
      </c>
      <c r="M94" s="92">
        <f>IF(INDEX(Cat_ChargesVAT,MATCH(tbl_Ledger[[#This Row],[Tax Category]],Cat_Codes,0))="No",0,tbl_Ledger[[#This Row],[Amount]]*GETFund_Rate)</f>
        <v>221.5</v>
      </c>
      <c r="N94" s="92">
        <f>tbl_Ledger[[#This Row],[Expected VAT]]+tbl_Ledger[[#This Row],[Expected NHIL]]+tbl_Ledger[[#This Row],[Expected GETFund]]</f>
        <v>1772</v>
      </c>
      <c r="O94" s="92">
        <f>tbl_Ledger[[#This Row],[Amount]]+tbl_Ledger[[#This Row],[Tax Charged on Invoice]]</f>
        <v>10632</v>
      </c>
    </row>
    <row r="95" spans="1:15" x14ac:dyDescent="0.3">
      <c r="A95" s="11"/>
      <c r="B95" s="93">
        <v>88</v>
      </c>
      <c r="C95" s="94">
        <v>46093</v>
      </c>
      <c r="D95" s="95" t="s">
        <v>431</v>
      </c>
      <c r="E95" s="95" t="s">
        <v>283</v>
      </c>
      <c r="F95" s="96" t="s">
        <v>182</v>
      </c>
      <c r="G95" s="96" t="s">
        <v>179</v>
      </c>
      <c r="H95" s="97">
        <v>25550</v>
      </c>
      <c r="I95" s="96" t="s">
        <v>432</v>
      </c>
      <c r="J95" s="97">
        <v>5110</v>
      </c>
      <c r="K95" s="92">
        <f>IF(INDEX(Cat_ChargesVAT,MATCH(tbl_Ledger[[#This Row],[Tax Category]],Cat_Codes,0))="No",0,tbl_Ledger[[#This Row],[Amount]]*VAT_Rate)</f>
        <v>3832.5</v>
      </c>
      <c r="L95" s="92">
        <f>IF(INDEX(Cat_ChargesVAT,MATCH(tbl_Ledger[[#This Row],[Tax Category]],Cat_Codes,0))="No",0,tbl_Ledger[[#This Row],[Amount]]*NHIL_Rate)</f>
        <v>638.75</v>
      </c>
      <c r="M95" s="92">
        <f>IF(INDEX(Cat_ChargesVAT,MATCH(tbl_Ledger[[#This Row],[Tax Category]],Cat_Codes,0))="No",0,tbl_Ledger[[#This Row],[Amount]]*GETFund_Rate)</f>
        <v>638.75</v>
      </c>
      <c r="N95" s="92">
        <f>tbl_Ledger[[#This Row],[Expected VAT]]+tbl_Ledger[[#This Row],[Expected NHIL]]+tbl_Ledger[[#This Row],[Expected GETFund]]</f>
        <v>5110</v>
      </c>
      <c r="O95" s="92">
        <f>tbl_Ledger[[#This Row],[Amount]]+tbl_Ledger[[#This Row],[Tax Charged on Invoice]]</f>
        <v>30660</v>
      </c>
    </row>
    <row r="96" spans="1:15" x14ac:dyDescent="0.3">
      <c r="A96" s="11"/>
      <c r="B96" s="93">
        <v>89</v>
      </c>
      <c r="C96" s="94">
        <v>46094</v>
      </c>
      <c r="D96" s="95" t="s">
        <v>338</v>
      </c>
      <c r="E96" s="95" t="s">
        <v>318</v>
      </c>
      <c r="F96" s="96" t="s">
        <v>201</v>
      </c>
      <c r="G96" s="96" t="s">
        <v>205</v>
      </c>
      <c r="H96" s="97">
        <v>917</v>
      </c>
      <c r="I96" s="96" t="s">
        <v>433</v>
      </c>
      <c r="J96" s="97">
        <v>0</v>
      </c>
      <c r="K96" s="92">
        <f>IF(INDEX(Cat_ChargesVAT,MATCH(tbl_Ledger[[#This Row],[Tax Category]],Cat_Codes,0))="No",0,tbl_Ledger[[#This Row],[Amount]]*VAT_Rate)</f>
        <v>0</v>
      </c>
      <c r="L96" s="92">
        <f>IF(INDEX(Cat_ChargesVAT,MATCH(tbl_Ledger[[#This Row],[Tax Category]],Cat_Codes,0))="No",0,tbl_Ledger[[#This Row],[Amount]]*NHIL_Rate)</f>
        <v>0</v>
      </c>
      <c r="M96" s="92">
        <f>IF(INDEX(Cat_ChargesVAT,MATCH(tbl_Ledger[[#This Row],[Tax Category]],Cat_Codes,0))="No",0,tbl_Ledger[[#This Row],[Amount]]*GETFund_Rate)</f>
        <v>0</v>
      </c>
      <c r="N96" s="92">
        <f>tbl_Ledger[[#This Row],[Expected VAT]]+tbl_Ledger[[#This Row],[Expected NHIL]]+tbl_Ledger[[#This Row],[Expected GETFund]]</f>
        <v>0</v>
      </c>
      <c r="O96" s="92">
        <f>tbl_Ledger[[#This Row],[Amount]]+tbl_Ledger[[#This Row],[Tax Charged on Invoice]]</f>
        <v>917</v>
      </c>
    </row>
    <row r="97" spans="1:15" x14ac:dyDescent="0.3">
      <c r="A97" s="11"/>
      <c r="B97" s="93">
        <v>90</v>
      </c>
      <c r="C97" s="94">
        <v>46094</v>
      </c>
      <c r="D97" s="95" t="s">
        <v>434</v>
      </c>
      <c r="E97" s="95" t="s">
        <v>313</v>
      </c>
      <c r="F97" s="96" t="s">
        <v>182</v>
      </c>
      <c r="G97" s="96" t="s">
        <v>179</v>
      </c>
      <c r="H97" s="97">
        <v>24624</v>
      </c>
      <c r="I97" s="96" t="s">
        <v>435</v>
      </c>
      <c r="J97" s="97">
        <v>4924.8</v>
      </c>
      <c r="K97" s="92">
        <f>IF(INDEX(Cat_ChargesVAT,MATCH(tbl_Ledger[[#This Row],[Tax Category]],Cat_Codes,0))="No",0,tbl_Ledger[[#This Row],[Amount]]*VAT_Rate)</f>
        <v>3693.6</v>
      </c>
      <c r="L97" s="92">
        <f>IF(INDEX(Cat_ChargesVAT,MATCH(tbl_Ledger[[#This Row],[Tax Category]],Cat_Codes,0))="No",0,tbl_Ledger[[#This Row],[Amount]]*NHIL_Rate)</f>
        <v>615.6</v>
      </c>
      <c r="M97" s="92">
        <f>IF(INDEX(Cat_ChargesVAT,MATCH(tbl_Ledger[[#This Row],[Tax Category]],Cat_Codes,0))="No",0,tbl_Ledger[[#This Row],[Amount]]*GETFund_Rate)</f>
        <v>615.6</v>
      </c>
      <c r="N97" s="92">
        <f>tbl_Ledger[[#This Row],[Expected VAT]]+tbl_Ledger[[#This Row],[Expected NHIL]]+tbl_Ledger[[#This Row],[Expected GETFund]]</f>
        <v>4924.8</v>
      </c>
      <c r="O97" s="92">
        <f>tbl_Ledger[[#This Row],[Amount]]+tbl_Ledger[[#This Row],[Tax Charged on Invoice]]</f>
        <v>29548.799999999999</v>
      </c>
    </row>
    <row r="98" spans="1:15" x14ac:dyDescent="0.3">
      <c r="A98" s="11"/>
      <c r="B98" s="93">
        <v>91</v>
      </c>
      <c r="C98" s="94">
        <v>46094</v>
      </c>
      <c r="D98" s="95" t="s">
        <v>436</v>
      </c>
      <c r="E98" s="95" t="s">
        <v>294</v>
      </c>
      <c r="F98" s="96" t="s">
        <v>182</v>
      </c>
      <c r="G98" s="96" t="s">
        <v>179</v>
      </c>
      <c r="H98" s="97">
        <v>57816</v>
      </c>
      <c r="I98" s="96" t="s">
        <v>437</v>
      </c>
      <c r="J98" s="97">
        <v>11563.2</v>
      </c>
      <c r="K98" s="92">
        <f>IF(INDEX(Cat_ChargesVAT,MATCH(tbl_Ledger[[#This Row],[Tax Category]],Cat_Codes,0))="No",0,tbl_Ledger[[#This Row],[Amount]]*VAT_Rate)</f>
        <v>8672.4</v>
      </c>
      <c r="L98" s="92">
        <f>IF(INDEX(Cat_ChargesVAT,MATCH(tbl_Ledger[[#This Row],[Tax Category]],Cat_Codes,0))="No",0,tbl_Ledger[[#This Row],[Amount]]*NHIL_Rate)</f>
        <v>1445.4</v>
      </c>
      <c r="M98" s="92">
        <f>IF(INDEX(Cat_ChargesVAT,MATCH(tbl_Ledger[[#This Row],[Tax Category]],Cat_Codes,0))="No",0,tbl_Ledger[[#This Row],[Amount]]*GETFund_Rate)</f>
        <v>1445.4</v>
      </c>
      <c r="N98" s="92">
        <f>tbl_Ledger[[#This Row],[Expected VAT]]+tbl_Ledger[[#This Row],[Expected NHIL]]+tbl_Ledger[[#This Row],[Expected GETFund]]</f>
        <v>11563.199999999999</v>
      </c>
      <c r="O98" s="92">
        <f>tbl_Ledger[[#This Row],[Amount]]+tbl_Ledger[[#This Row],[Tax Charged on Invoice]]</f>
        <v>69379.199999999997</v>
      </c>
    </row>
    <row r="99" spans="1:15" x14ac:dyDescent="0.3">
      <c r="A99" s="11"/>
      <c r="B99" s="93">
        <v>92</v>
      </c>
      <c r="C99" s="94">
        <v>46094</v>
      </c>
      <c r="D99" s="95" t="s">
        <v>384</v>
      </c>
      <c r="E99" s="95" t="s">
        <v>288</v>
      </c>
      <c r="F99" s="96" t="s">
        <v>182</v>
      </c>
      <c r="G99" s="96" t="s">
        <v>193</v>
      </c>
      <c r="H99" s="97">
        <v>79662</v>
      </c>
      <c r="I99" s="96" t="s">
        <v>438</v>
      </c>
      <c r="J99" s="97">
        <v>15932.4</v>
      </c>
      <c r="K99" s="92">
        <f>IF(INDEX(Cat_ChargesVAT,MATCH(tbl_Ledger[[#This Row],[Tax Category]],Cat_Codes,0))="No",0,tbl_Ledger[[#This Row],[Amount]]*VAT_Rate)</f>
        <v>11949.3</v>
      </c>
      <c r="L99" s="92">
        <f>IF(INDEX(Cat_ChargesVAT,MATCH(tbl_Ledger[[#This Row],[Tax Category]],Cat_Codes,0))="No",0,tbl_Ledger[[#This Row],[Amount]]*NHIL_Rate)</f>
        <v>1991.5500000000002</v>
      </c>
      <c r="M99" s="92">
        <f>IF(INDEX(Cat_ChargesVAT,MATCH(tbl_Ledger[[#This Row],[Tax Category]],Cat_Codes,0))="No",0,tbl_Ledger[[#This Row],[Amount]]*GETFund_Rate)</f>
        <v>1991.5500000000002</v>
      </c>
      <c r="N99" s="92">
        <f>tbl_Ledger[[#This Row],[Expected VAT]]+tbl_Ledger[[#This Row],[Expected NHIL]]+tbl_Ledger[[#This Row],[Expected GETFund]]</f>
        <v>15932.399999999998</v>
      </c>
      <c r="O99" s="92">
        <f>tbl_Ledger[[#This Row],[Amount]]+tbl_Ledger[[#This Row],[Tax Charged on Invoice]]</f>
        <v>95594.4</v>
      </c>
    </row>
    <row r="100" spans="1:15" x14ac:dyDescent="0.3">
      <c r="A100" s="11"/>
      <c r="B100" s="93">
        <v>93</v>
      </c>
      <c r="C100" s="94">
        <v>46095</v>
      </c>
      <c r="D100" s="95" t="s">
        <v>439</v>
      </c>
      <c r="E100" s="95" t="s">
        <v>288</v>
      </c>
      <c r="F100" s="96" t="s">
        <v>182</v>
      </c>
      <c r="G100" s="96" t="s">
        <v>179</v>
      </c>
      <c r="H100" s="97">
        <v>92487</v>
      </c>
      <c r="I100" s="96"/>
      <c r="J100" s="97">
        <v>18497.400000000001</v>
      </c>
      <c r="K100" s="92">
        <f>IF(INDEX(Cat_ChargesVAT,MATCH(tbl_Ledger[[#This Row],[Tax Category]],Cat_Codes,0))="No",0,tbl_Ledger[[#This Row],[Amount]]*VAT_Rate)</f>
        <v>13873.05</v>
      </c>
      <c r="L100" s="92">
        <f>IF(INDEX(Cat_ChargesVAT,MATCH(tbl_Ledger[[#This Row],[Tax Category]],Cat_Codes,0))="No",0,tbl_Ledger[[#This Row],[Amount]]*NHIL_Rate)</f>
        <v>2312.1750000000002</v>
      </c>
      <c r="M100" s="92">
        <f>IF(INDEX(Cat_ChargesVAT,MATCH(tbl_Ledger[[#This Row],[Tax Category]],Cat_Codes,0))="No",0,tbl_Ledger[[#This Row],[Amount]]*GETFund_Rate)</f>
        <v>2312.1750000000002</v>
      </c>
      <c r="N100" s="92">
        <f>tbl_Ledger[[#This Row],[Expected VAT]]+tbl_Ledger[[#This Row],[Expected NHIL]]+tbl_Ledger[[#This Row],[Expected GETFund]]</f>
        <v>18497.399999999998</v>
      </c>
      <c r="O100" s="92">
        <f>tbl_Ledger[[#This Row],[Amount]]+tbl_Ledger[[#This Row],[Tax Charged on Invoice]]</f>
        <v>110984.4</v>
      </c>
    </row>
    <row r="101" spans="1:15" x14ac:dyDescent="0.3">
      <c r="A101" s="11"/>
      <c r="B101" s="93">
        <v>94</v>
      </c>
      <c r="C101" s="94">
        <v>46096</v>
      </c>
      <c r="D101" s="95" t="s">
        <v>440</v>
      </c>
      <c r="E101" s="95" t="s">
        <v>307</v>
      </c>
      <c r="F101" s="96" t="s">
        <v>201</v>
      </c>
      <c r="G101" s="96" t="s">
        <v>219</v>
      </c>
      <c r="H101" s="97">
        <v>1960</v>
      </c>
      <c r="I101" s="96" t="s">
        <v>441</v>
      </c>
      <c r="J101" s="97">
        <v>392</v>
      </c>
      <c r="K101" s="92">
        <f>IF(INDEX(Cat_ChargesVAT,MATCH(tbl_Ledger[[#This Row],[Tax Category]],Cat_Codes,0))="No",0,tbl_Ledger[[#This Row],[Amount]]*VAT_Rate)</f>
        <v>294</v>
      </c>
      <c r="L101" s="92">
        <f>IF(INDEX(Cat_ChargesVAT,MATCH(tbl_Ledger[[#This Row],[Tax Category]],Cat_Codes,0))="No",0,tbl_Ledger[[#This Row],[Amount]]*NHIL_Rate)</f>
        <v>49</v>
      </c>
      <c r="M101" s="92">
        <f>IF(INDEX(Cat_ChargesVAT,MATCH(tbl_Ledger[[#This Row],[Tax Category]],Cat_Codes,0))="No",0,tbl_Ledger[[#This Row],[Amount]]*GETFund_Rate)</f>
        <v>49</v>
      </c>
      <c r="N101" s="92">
        <f>tbl_Ledger[[#This Row],[Expected VAT]]+tbl_Ledger[[#This Row],[Expected NHIL]]+tbl_Ledger[[#This Row],[Expected GETFund]]</f>
        <v>392</v>
      </c>
      <c r="O101" s="92">
        <f>tbl_Ledger[[#This Row],[Amount]]+tbl_Ledger[[#This Row],[Tax Charged on Invoice]]</f>
        <v>2352</v>
      </c>
    </row>
    <row r="102" spans="1:15" x14ac:dyDescent="0.3">
      <c r="A102" s="11"/>
      <c r="B102" s="93">
        <v>95</v>
      </c>
      <c r="C102" s="94">
        <v>46096</v>
      </c>
      <c r="D102" s="95" t="s">
        <v>309</v>
      </c>
      <c r="E102" s="95" t="s">
        <v>429</v>
      </c>
      <c r="F102" s="96" t="s">
        <v>201</v>
      </c>
      <c r="G102" s="96" t="s">
        <v>199</v>
      </c>
      <c r="H102" s="97">
        <v>8703</v>
      </c>
      <c r="I102" s="96" t="s">
        <v>442</v>
      </c>
      <c r="J102" s="97">
        <v>1740.6</v>
      </c>
      <c r="K102" s="92">
        <f>IF(INDEX(Cat_ChargesVAT,MATCH(tbl_Ledger[[#This Row],[Tax Category]],Cat_Codes,0))="No",0,tbl_Ledger[[#This Row],[Amount]]*VAT_Rate)</f>
        <v>1305.45</v>
      </c>
      <c r="L102" s="92">
        <f>IF(INDEX(Cat_ChargesVAT,MATCH(tbl_Ledger[[#This Row],[Tax Category]],Cat_Codes,0))="No",0,tbl_Ledger[[#This Row],[Amount]]*NHIL_Rate)</f>
        <v>217.57500000000002</v>
      </c>
      <c r="M102" s="92">
        <f>IF(INDEX(Cat_ChargesVAT,MATCH(tbl_Ledger[[#This Row],[Tax Category]],Cat_Codes,0))="No",0,tbl_Ledger[[#This Row],[Amount]]*GETFund_Rate)</f>
        <v>217.57500000000002</v>
      </c>
      <c r="N102" s="92">
        <f>tbl_Ledger[[#This Row],[Expected VAT]]+tbl_Ledger[[#This Row],[Expected NHIL]]+tbl_Ledger[[#This Row],[Expected GETFund]]</f>
        <v>1740.6000000000001</v>
      </c>
      <c r="O102" s="92">
        <f>tbl_Ledger[[#This Row],[Amount]]+tbl_Ledger[[#This Row],[Tax Charged on Invoice]]</f>
        <v>10443.6</v>
      </c>
    </row>
    <row r="103" spans="1:15" x14ac:dyDescent="0.3">
      <c r="A103" s="11"/>
      <c r="B103" s="93">
        <v>96</v>
      </c>
      <c r="C103" s="94">
        <v>46096</v>
      </c>
      <c r="D103" s="95" t="s">
        <v>443</v>
      </c>
      <c r="E103" s="95" t="s">
        <v>278</v>
      </c>
      <c r="F103" s="96" t="s">
        <v>201</v>
      </c>
      <c r="G103" s="96" t="s">
        <v>212</v>
      </c>
      <c r="H103" s="97">
        <v>44143</v>
      </c>
      <c r="I103" s="96" t="s">
        <v>444</v>
      </c>
      <c r="J103" s="97">
        <v>0</v>
      </c>
      <c r="K103" s="92">
        <f>IF(INDEX(Cat_ChargesVAT,MATCH(tbl_Ledger[[#This Row],[Tax Category]],Cat_Codes,0))="No",0,tbl_Ledger[[#This Row],[Amount]]*VAT_Rate)</f>
        <v>0</v>
      </c>
      <c r="L103" s="92">
        <f>IF(INDEX(Cat_ChargesVAT,MATCH(tbl_Ledger[[#This Row],[Tax Category]],Cat_Codes,0))="No",0,tbl_Ledger[[#This Row],[Amount]]*NHIL_Rate)</f>
        <v>0</v>
      </c>
      <c r="M103" s="92">
        <f>IF(INDEX(Cat_ChargesVAT,MATCH(tbl_Ledger[[#This Row],[Tax Category]],Cat_Codes,0))="No",0,tbl_Ledger[[#This Row],[Amount]]*GETFund_Rate)</f>
        <v>0</v>
      </c>
      <c r="N103" s="92">
        <f>tbl_Ledger[[#This Row],[Expected VAT]]+tbl_Ledger[[#This Row],[Expected NHIL]]+tbl_Ledger[[#This Row],[Expected GETFund]]</f>
        <v>0</v>
      </c>
      <c r="O103" s="92">
        <f>tbl_Ledger[[#This Row],[Amount]]+tbl_Ledger[[#This Row],[Tax Charged on Invoice]]</f>
        <v>44143</v>
      </c>
    </row>
    <row r="104" spans="1:15" x14ac:dyDescent="0.3">
      <c r="A104" s="11"/>
      <c r="B104" s="93">
        <v>97</v>
      </c>
      <c r="C104" s="94">
        <v>46096</v>
      </c>
      <c r="D104" s="95" t="s">
        <v>265</v>
      </c>
      <c r="E104" s="95" t="s">
        <v>283</v>
      </c>
      <c r="F104" s="96" t="s">
        <v>182</v>
      </c>
      <c r="G104" s="96" t="s">
        <v>179</v>
      </c>
      <c r="H104" s="97">
        <v>59848</v>
      </c>
      <c r="I104" s="96" t="s">
        <v>445</v>
      </c>
      <c r="J104" s="97">
        <v>11969.6</v>
      </c>
      <c r="K104" s="92">
        <f>IF(INDEX(Cat_ChargesVAT,MATCH(tbl_Ledger[[#This Row],[Tax Category]],Cat_Codes,0))="No",0,tbl_Ledger[[#This Row],[Amount]]*VAT_Rate)</f>
        <v>8977.1999999999989</v>
      </c>
      <c r="L104" s="92">
        <f>IF(INDEX(Cat_ChargesVAT,MATCH(tbl_Ledger[[#This Row],[Tax Category]],Cat_Codes,0))="No",0,tbl_Ledger[[#This Row],[Amount]]*NHIL_Rate)</f>
        <v>1496.2</v>
      </c>
      <c r="M104" s="92">
        <f>IF(INDEX(Cat_ChargesVAT,MATCH(tbl_Ledger[[#This Row],[Tax Category]],Cat_Codes,0))="No",0,tbl_Ledger[[#This Row],[Amount]]*GETFund_Rate)</f>
        <v>1496.2</v>
      </c>
      <c r="N104" s="92">
        <f>tbl_Ledger[[#This Row],[Expected VAT]]+tbl_Ledger[[#This Row],[Expected NHIL]]+tbl_Ledger[[#This Row],[Expected GETFund]]</f>
        <v>11969.6</v>
      </c>
      <c r="O104" s="92">
        <f>tbl_Ledger[[#This Row],[Amount]]+tbl_Ledger[[#This Row],[Tax Charged on Invoice]]</f>
        <v>71817.600000000006</v>
      </c>
    </row>
    <row r="105" spans="1:15" x14ac:dyDescent="0.3">
      <c r="A105" s="11"/>
      <c r="B105" s="93">
        <v>98</v>
      </c>
      <c r="C105" s="94">
        <v>46098</v>
      </c>
      <c r="D105" s="95" t="s">
        <v>446</v>
      </c>
      <c r="E105" s="95" t="s">
        <v>268</v>
      </c>
      <c r="F105" s="96" t="s">
        <v>201</v>
      </c>
      <c r="G105" s="96" t="s">
        <v>205</v>
      </c>
      <c r="H105" s="97">
        <v>52490</v>
      </c>
      <c r="I105" s="96" t="s">
        <v>447</v>
      </c>
      <c r="J105" s="97">
        <v>0</v>
      </c>
      <c r="K105" s="92">
        <f>IF(INDEX(Cat_ChargesVAT,MATCH(tbl_Ledger[[#This Row],[Tax Category]],Cat_Codes,0))="No",0,tbl_Ledger[[#This Row],[Amount]]*VAT_Rate)</f>
        <v>0</v>
      </c>
      <c r="L105" s="92">
        <f>IF(INDEX(Cat_ChargesVAT,MATCH(tbl_Ledger[[#This Row],[Tax Category]],Cat_Codes,0))="No",0,tbl_Ledger[[#This Row],[Amount]]*NHIL_Rate)</f>
        <v>0</v>
      </c>
      <c r="M105" s="92">
        <f>IF(INDEX(Cat_ChargesVAT,MATCH(tbl_Ledger[[#This Row],[Tax Category]],Cat_Codes,0))="No",0,tbl_Ledger[[#This Row],[Amount]]*GETFund_Rate)</f>
        <v>0</v>
      </c>
      <c r="N105" s="92">
        <f>tbl_Ledger[[#This Row],[Expected VAT]]+tbl_Ledger[[#This Row],[Expected NHIL]]+tbl_Ledger[[#This Row],[Expected GETFund]]</f>
        <v>0</v>
      </c>
      <c r="O105" s="92">
        <f>tbl_Ledger[[#This Row],[Amount]]+tbl_Ledger[[#This Row],[Tax Charged on Invoice]]</f>
        <v>52490</v>
      </c>
    </row>
    <row r="106" spans="1:15" x14ac:dyDescent="0.3">
      <c r="A106" s="11"/>
      <c r="B106" s="93">
        <v>99</v>
      </c>
      <c r="C106" s="94">
        <v>46098</v>
      </c>
      <c r="D106" s="95" t="s">
        <v>309</v>
      </c>
      <c r="E106" s="95" t="s">
        <v>291</v>
      </c>
      <c r="F106" s="96" t="s">
        <v>201</v>
      </c>
      <c r="G106" s="96" t="s">
        <v>199</v>
      </c>
      <c r="H106" s="97">
        <v>4906</v>
      </c>
      <c r="I106" s="96" t="s">
        <v>448</v>
      </c>
      <c r="J106" s="97">
        <v>981.2</v>
      </c>
      <c r="K106" s="92">
        <f>IF(INDEX(Cat_ChargesVAT,MATCH(tbl_Ledger[[#This Row],[Tax Category]],Cat_Codes,0))="No",0,tbl_Ledger[[#This Row],[Amount]]*VAT_Rate)</f>
        <v>735.9</v>
      </c>
      <c r="L106" s="92">
        <f>IF(INDEX(Cat_ChargesVAT,MATCH(tbl_Ledger[[#This Row],[Tax Category]],Cat_Codes,0))="No",0,tbl_Ledger[[#This Row],[Amount]]*NHIL_Rate)</f>
        <v>122.65</v>
      </c>
      <c r="M106" s="92">
        <f>IF(INDEX(Cat_ChargesVAT,MATCH(tbl_Ledger[[#This Row],[Tax Category]],Cat_Codes,0))="No",0,tbl_Ledger[[#This Row],[Amount]]*GETFund_Rate)</f>
        <v>122.65</v>
      </c>
      <c r="N106" s="92">
        <f>tbl_Ledger[[#This Row],[Expected VAT]]+tbl_Ledger[[#This Row],[Expected NHIL]]+tbl_Ledger[[#This Row],[Expected GETFund]]</f>
        <v>981.19999999999993</v>
      </c>
      <c r="O106" s="92">
        <f>tbl_Ledger[[#This Row],[Amount]]+tbl_Ledger[[#This Row],[Tax Charged on Invoice]]</f>
        <v>5887.2</v>
      </c>
    </row>
    <row r="107" spans="1:15" x14ac:dyDescent="0.3">
      <c r="A107" s="11"/>
      <c r="B107" s="93">
        <v>100</v>
      </c>
      <c r="C107" s="94">
        <v>46099</v>
      </c>
      <c r="D107" s="95" t="s">
        <v>449</v>
      </c>
      <c r="E107" s="95" t="s">
        <v>253</v>
      </c>
      <c r="F107" s="96" t="s">
        <v>182</v>
      </c>
      <c r="G107" s="96" t="s">
        <v>187</v>
      </c>
      <c r="H107" s="97">
        <v>49260</v>
      </c>
      <c r="I107" s="96" t="s">
        <v>450</v>
      </c>
      <c r="J107" s="97">
        <v>9852</v>
      </c>
      <c r="K107" s="92">
        <f>IF(INDEX(Cat_ChargesVAT,MATCH(tbl_Ledger[[#This Row],[Tax Category]],Cat_Codes,0))="No",0,tbl_Ledger[[#This Row],[Amount]]*VAT_Rate)</f>
        <v>7389</v>
      </c>
      <c r="L107" s="92">
        <f>IF(INDEX(Cat_ChargesVAT,MATCH(tbl_Ledger[[#This Row],[Tax Category]],Cat_Codes,0))="No",0,tbl_Ledger[[#This Row],[Amount]]*NHIL_Rate)</f>
        <v>1231.5</v>
      </c>
      <c r="M107" s="92">
        <f>IF(INDEX(Cat_ChargesVAT,MATCH(tbl_Ledger[[#This Row],[Tax Category]],Cat_Codes,0))="No",0,tbl_Ledger[[#This Row],[Amount]]*GETFund_Rate)</f>
        <v>1231.5</v>
      </c>
      <c r="N107" s="92">
        <f>tbl_Ledger[[#This Row],[Expected VAT]]+tbl_Ledger[[#This Row],[Expected NHIL]]+tbl_Ledger[[#This Row],[Expected GETFund]]</f>
        <v>9852</v>
      </c>
      <c r="O107" s="92">
        <f>tbl_Ledger[[#This Row],[Amount]]+tbl_Ledger[[#This Row],[Tax Charged on Invoice]]</f>
        <v>59112</v>
      </c>
    </row>
    <row r="108" spans="1:15" x14ac:dyDescent="0.3">
      <c r="A108" s="11"/>
      <c r="B108" s="93">
        <v>101</v>
      </c>
      <c r="C108" s="94">
        <v>46100</v>
      </c>
      <c r="D108" s="95" t="s">
        <v>317</v>
      </c>
      <c r="E108" s="95" t="s">
        <v>278</v>
      </c>
      <c r="F108" s="96" t="s">
        <v>201</v>
      </c>
      <c r="G108" s="96" t="s">
        <v>205</v>
      </c>
      <c r="H108" s="97">
        <v>521</v>
      </c>
      <c r="I108" s="96" t="s">
        <v>451</v>
      </c>
      <c r="J108" s="97">
        <v>104.2</v>
      </c>
      <c r="K108" s="92">
        <f>IF(INDEX(Cat_ChargesVAT,MATCH(tbl_Ledger[[#This Row],[Tax Category]],Cat_Codes,0))="No",0,tbl_Ledger[[#This Row],[Amount]]*VAT_Rate)</f>
        <v>0</v>
      </c>
      <c r="L108" s="92">
        <f>IF(INDEX(Cat_ChargesVAT,MATCH(tbl_Ledger[[#This Row],[Tax Category]],Cat_Codes,0))="No",0,tbl_Ledger[[#This Row],[Amount]]*NHIL_Rate)</f>
        <v>0</v>
      </c>
      <c r="M108" s="92">
        <f>IF(INDEX(Cat_ChargesVAT,MATCH(tbl_Ledger[[#This Row],[Tax Category]],Cat_Codes,0))="No",0,tbl_Ledger[[#This Row],[Amount]]*GETFund_Rate)</f>
        <v>0</v>
      </c>
      <c r="N108" s="92">
        <f>tbl_Ledger[[#This Row],[Expected VAT]]+tbl_Ledger[[#This Row],[Expected NHIL]]+tbl_Ledger[[#This Row],[Expected GETFund]]</f>
        <v>0</v>
      </c>
      <c r="O108" s="92">
        <f>tbl_Ledger[[#This Row],[Amount]]+tbl_Ledger[[#This Row],[Tax Charged on Invoice]]</f>
        <v>625.20000000000005</v>
      </c>
    </row>
    <row r="109" spans="1:15" x14ac:dyDescent="0.3">
      <c r="A109" s="11"/>
      <c r="B109" s="93">
        <v>102</v>
      </c>
      <c r="C109" s="94">
        <v>46100</v>
      </c>
      <c r="D109" s="95" t="s">
        <v>329</v>
      </c>
      <c r="E109" s="95" t="s">
        <v>330</v>
      </c>
      <c r="F109" s="96" t="s">
        <v>201</v>
      </c>
      <c r="G109" s="96" t="s">
        <v>205</v>
      </c>
      <c r="H109" s="97">
        <v>31040</v>
      </c>
      <c r="I109" s="96" t="s">
        <v>452</v>
      </c>
      <c r="J109" s="97">
        <v>0</v>
      </c>
      <c r="K109" s="92">
        <f>IF(INDEX(Cat_ChargesVAT,MATCH(tbl_Ledger[[#This Row],[Tax Category]],Cat_Codes,0))="No",0,tbl_Ledger[[#This Row],[Amount]]*VAT_Rate)</f>
        <v>0</v>
      </c>
      <c r="L109" s="92">
        <f>IF(INDEX(Cat_ChargesVAT,MATCH(tbl_Ledger[[#This Row],[Tax Category]],Cat_Codes,0))="No",0,tbl_Ledger[[#This Row],[Amount]]*NHIL_Rate)</f>
        <v>0</v>
      </c>
      <c r="M109" s="92">
        <f>IF(INDEX(Cat_ChargesVAT,MATCH(tbl_Ledger[[#This Row],[Tax Category]],Cat_Codes,0))="No",0,tbl_Ledger[[#This Row],[Amount]]*GETFund_Rate)</f>
        <v>0</v>
      </c>
      <c r="N109" s="92">
        <f>tbl_Ledger[[#This Row],[Expected VAT]]+tbl_Ledger[[#This Row],[Expected NHIL]]+tbl_Ledger[[#This Row],[Expected GETFund]]</f>
        <v>0</v>
      </c>
      <c r="O109" s="92">
        <f>tbl_Ledger[[#This Row],[Amount]]+tbl_Ledger[[#This Row],[Tax Charged on Invoice]]</f>
        <v>31040</v>
      </c>
    </row>
    <row r="110" spans="1:15" x14ac:dyDescent="0.3">
      <c r="A110" s="11"/>
      <c r="B110" s="93">
        <v>103</v>
      </c>
      <c r="C110" s="94">
        <v>46101</v>
      </c>
      <c r="D110" s="95" t="s">
        <v>329</v>
      </c>
      <c r="E110" s="95" t="s">
        <v>453</v>
      </c>
      <c r="F110" s="96" t="s">
        <v>201</v>
      </c>
      <c r="G110" s="96" t="s">
        <v>199</v>
      </c>
      <c r="H110" s="97">
        <v>21750</v>
      </c>
      <c r="I110" s="96" t="s">
        <v>454</v>
      </c>
      <c r="J110" s="97">
        <v>4350</v>
      </c>
      <c r="K110" s="92">
        <f>IF(INDEX(Cat_ChargesVAT,MATCH(tbl_Ledger[[#This Row],[Tax Category]],Cat_Codes,0))="No",0,tbl_Ledger[[#This Row],[Amount]]*VAT_Rate)</f>
        <v>3262.5</v>
      </c>
      <c r="L110" s="92">
        <f>IF(INDEX(Cat_ChargesVAT,MATCH(tbl_Ledger[[#This Row],[Tax Category]],Cat_Codes,0))="No",0,tbl_Ledger[[#This Row],[Amount]]*NHIL_Rate)</f>
        <v>543.75</v>
      </c>
      <c r="M110" s="92">
        <f>IF(INDEX(Cat_ChargesVAT,MATCH(tbl_Ledger[[#This Row],[Tax Category]],Cat_Codes,0))="No",0,tbl_Ledger[[#This Row],[Amount]]*GETFund_Rate)</f>
        <v>543.75</v>
      </c>
      <c r="N110" s="92">
        <f>tbl_Ledger[[#This Row],[Expected VAT]]+tbl_Ledger[[#This Row],[Expected NHIL]]+tbl_Ledger[[#This Row],[Expected GETFund]]</f>
        <v>4350</v>
      </c>
      <c r="O110" s="92">
        <f>tbl_Ledger[[#This Row],[Amount]]+tbl_Ledger[[#This Row],[Tax Charged on Invoice]]</f>
        <v>26100</v>
      </c>
    </row>
    <row r="111" spans="1:15" x14ac:dyDescent="0.3">
      <c r="A111" s="11"/>
      <c r="B111" s="93">
        <v>104</v>
      </c>
      <c r="C111" s="94">
        <v>46104</v>
      </c>
      <c r="D111" s="95" t="s">
        <v>455</v>
      </c>
      <c r="E111" s="95" t="s">
        <v>268</v>
      </c>
      <c r="F111" s="96" t="s">
        <v>201</v>
      </c>
      <c r="G111" s="96" t="s">
        <v>205</v>
      </c>
      <c r="H111" s="97">
        <v>82343</v>
      </c>
      <c r="I111" s="96" t="s">
        <v>456</v>
      </c>
      <c r="J111" s="97">
        <v>0</v>
      </c>
      <c r="K111" s="92">
        <f>IF(INDEX(Cat_ChargesVAT,MATCH(tbl_Ledger[[#This Row],[Tax Category]],Cat_Codes,0))="No",0,tbl_Ledger[[#This Row],[Amount]]*VAT_Rate)</f>
        <v>0</v>
      </c>
      <c r="L111" s="92">
        <f>IF(INDEX(Cat_ChargesVAT,MATCH(tbl_Ledger[[#This Row],[Tax Category]],Cat_Codes,0))="No",0,tbl_Ledger[[#This Row],[Amount]]*NHIL_Rate)</f>
        <v>0</v>
      </c>
      <c r="M111" s="92">
        <f>IF(INDEX(Cat_ChargesVAT,MATCH(tbl_Ledger[[#This Row],[Tax Category]],Cat_Codes,0))="No",0,tbl_Ledger[[#This Row],[Amount]]*GETFund_Rate)</f>
        <v>0</v>
      </c>
      <c r="N111" s="92">
        <f>tbl_Ledger[[#This Row],[Expected VAT]]+tbl_Ledger[[#This Row],[Expected NHIL]]+tbl_Ledger[[#This Row],[Expected GETFund]]</f>
        <v>0</v>
      </c>
      <c r="O111" s="92">
        <f>tbl_Ledger[[#This Row],[Amount]]+tbl_Ledger[[#This Row],[Tax Charged on Invoice]]</f>
        <v>82343</v>
      </c>
    </row>
    <row r="112" spans="1:15" x14ac:dyDescent="0.3">
      <c r="A112" s="11"/>
      <c r="B112" s="93">
        <v>105</v>
      </c>
      <c r="C112" s="94">
        <v>46104</v>
      </c>
      <c r="D112" s="95" t="s">
        <v>457</v>
      </c>
      <c r="E112" s="95" t="s">
        <v>275</v>
      </c>
      <c r="F112" s="96" t="s">
        <v>201</v>
      </c>
      <c r="G112" s="96" t="s">
        <v>212</v>
      </c>
      <c r="H112" s="97">
        <v>66914</v>
      </c>
      <c r="I112" s="96" t="s">
        <v>458</v>
      </c>
      <c r="J112" s="97">
        <v>0</v>
      </c>
      <c r="K112" s="92">
        <f>IF(INDEX(Cat_ChargesVAT,MATCH(tbl_Ledger[[#This Row],[Tax Category]],Cat_Codes,0))="No",0,tbl_Ledger[[#This Row],[Amount]]*VAT_Rate)</f>
        <v>0</v>
      </c>
      <c r="L112" s="92">
        <f>IF(INDEX(Cat_ChargesVAT,MATCH(tbl_Ledger[[#This Row],[Tax Category]],Cat_Codes,0))="No",0,tbl_Ledger[[#This Row],[Amount]]*NHIL_Rate)</f>
        <v>0</v>
      </c>
      <c r="M112" s="92">
        <f>IF(INDEX(Cat_ChargesVAT,MATCH(tbl_Ledger[[#This Row],[Tax Category]],Cat_Codes,0))="No",0,tbl_Ledger[[#This Row],[Amount]]*GETFund_Rate)</f>
        <v>0</v>
      </c>
      <c r="N112" s="92">
        <f>tbl_Ledger[[#This Row],[Expected VAT]]+tbl_Ledger[[#This Row],[Expected NHIL]]+tbl_Ledger[[#This Row],[Expected GETFund]]</f>
        <v>0</v>
      </c>
      <c r="O112" s="92">
        <f>tbl_Ledger[[#This Row],[Amount]]+tbl_Ledger[[#This Row],[Tax Charged on Invoice]]</f>
        <v>66914</v>
      </c>
    </row>
    <row r="113" spans="1:15" x14ac:dyDescent="0.3">
      <c r="A113" s="11"/>
      <c r="B113" s="93">
        <v>106</v>
      </c>
      <c r="C113" s="94">
        <v>46105</v>
      </c>
      <c r="D113" s="95" t="s">
        <v>342</v>
      </c>
      <c r="E113" s="95" t="s">
        <v>412</v>
      </c>
      <c r="F113" s="96" t="s">
        <v>201</v>
      </c>
      <c r="G113" s="96" t="s">
        <v>199</v>
      </c>
      <c r="H113" s="97">
        <v>12435</v>
      </c>
      <c r="I113" s="96" t="s">
        <v>459</v>
      </c>
      <c r="J113" s="97">
        <v>2487</v>
      </c>
      <c r="K113" s="92">
        <f>IF(INDEX(Cat_ChargesVAT,MATCH(tbl_Ledger[[#This Row],[Tax Category]],Cat_Codes,0))="No",0,tbl_Ledger[[#This Row],[Amount]]*VAT_Rate)</f>
        <v>1865.25</v>
      </c>
      <c r="L113" s="92">
        <f>IF(INDEX(Cat_ChargesVAT,MATCH(tbl_Ledger[[#This Row],[Tax Category]],Cat_Codes,0))="No",0,tbl_Ledger[[#This Row],[Amount]]*NHIL_Rate)</f>
        <v>310.875</v>
      </c>
      <c r="M113" s="92">
        <f>IF(INDEX(Cat_ChargesVAT,MATCH(tbl_Ledger[[#This Row],[Tax Category]],Cat_Codes,0))="No",0,tbl_Ledger[[#This Row],[Amount]]*GETFund_Rate)</f>
        <v>310.875</v>
      </c>
      <c r="N113" s="92">
        <f>tbl_Ledger[[#This Row],[Expected VAT]]+tbl_Ledger[[#This Row],[Expected NHIL]]+tbl_Ledger[[#This Row],[Expected GETFund]]</f>
        <v>2487</v>
      </c>
      <c r="O113" s="92">
        <f>tbl_Ledger[[#This Row],[Amount]]+tbl_Ledger[[#This Row],[Tax Charged on Invoice]]</f>
        <v>14922</v>
      </c>
    </row>
    <row r="114" spans="1:15" x14ac:dyDescent="0.3">
      <c r="A114" s="11"/>
      <c r="B114" s="93">
        <v>107</v>
      </c>
      <c r="C114" s="94">
        <v>46105</v>
      </c>
      <c r="D114" s="95" t="s">
        <v>460</v>
      </c>
      <c r="E114" s="95" t="s">
        <v>461</v>
      </c>
      <c r="F114" s="96" t="s">
        <v>201</v>
      </c>
      <c r="G114" s="96" t="s">
        <v>212</v>
      </c>
      <c r="H114" s="97">
        <v>25095</v>
      </c>
      <c r="I114" s="96" t="s">
        <v>462</v>
      </c>
      <c r="J114" s="97">
        <v>0</v>
      </c>
      <c r="K114" s="92">
        <f>IF(INDEX(Cat_ChargesVAT,MATCH(tbl_Ledger[[#This Row],[Tax Category]],Cat_Codes,0))="No",0,tbl_Ledger[[#This Row],[Amount]]*VAT_Rate)</f>
        <v>0</v>
      </c>
      <c r="L114" s="92">
        <f>IF(INDEX(Cat_ChargesVAT,MATCH(tbl_Ledger[[#This Row],[Tax Category]],Cat_Codes,0))="No",0,tbl_Ledger[[#This Row],[Amount]]*NHIL_Rate)</f>
        <v>0</v>
      </c>
      <c r="M114" s="92">
        <f>IF(INDEX(Cat_ChargesVAT,MATCH(tbl_Ledger[[#This Row],[Tax Category]],Cat_Codes,0))="No",0,tbl_Ledger[[#This Row],[Amount]]*GETFund_Rate)</f>
        <v>0</v>
      </c>
      <c r="N114" s="92">
        <f>tbl_Ledger[[#This Row],[Expected VAT]]+tbl_Ledger[[#This Row],[Expected NHIL]]+tbl_Ledger[[#This Row],[Expected GETFund]]</f>
        <v>0</v>
      </c>
      <c r="O114" s="92">
        <f>tbl_Ledger[[#This Row],[Amount]]+tbl_Ledger[[#This Row],[Tax Charged on Invoice]]</f>
        <v>25095</v>
      </c>
    </row>
    <row r="115" spans="1:15" x14ac:dyDescent="0.3">
      <c r="A115" s="11"/>
      <c r="B115" s="93">
        <v>108</v>
      </c>
      <c r="C115" s="94">
        <v>46106</v>
      </c>
      <c r="D115" s="95" t="s">
        <v>463</v>
      </c>
      <c r="E115" s="95" t="s">
        <v>389</v>
      </c>
      <c r="F115" s="96" t="s">
        <v>182</v>
      </c>
      <c r="G115" s="96" t="s">
        <v>179</v>
      </c>
      <c r="H115" s="97">
        <v>58806</v>
      </c>
      <c r="I115" s="96" t="s">
        <v>464</v>
      </c>
      <c r="J115" s="97">
        <v>11761.2</v>
      </c>
      <c r="K115" s="92">
        <f>IF(INDEX(Cat_ChargesVAT,MATCH(tbl_Ledger[[#This Row],[Tax Category]],Cat_Codes,0))="No",0,tbl_Ledger[[#This Row],[Amount]]*VAT_Rate)</f>
        <v>8820.9</v>
      </c>
      <c r="L115" s="92">
        <f>IF(INDEX(Cat_ChargesVAT,MATCH(tbl_Ledger[[#This Row],[Tax Category]],Cat_Codes,0))="No",0,tbl_Ledger[[#This Row],[Amount]]*NHIL_Rate)</f>
        <v>1470.15</v>
      </c>
      <c r="M115" s="92">
        <f>IF(INDEX(Cat_ChargesVAT,MATCH(tbl_Ledger[[#This Row],[Tax Category]],Cat_Codes,0))="No",0,tbl_Ledger[[#This Row],[Amount]]*GETFund_Rate)</f>
        <v>1470.15</v>
      </c>
      <c r="N115" s="92">
        <f>tbl_Ledger[[#This Row],[Expected VAT]]+tbl_Ledger[[#This Row],[Expected NHIL]]+tbl_Ledger[[#This Row],[Expected GETFund]]</f>
        <v>11761.199999999999</v>
      </c>
      <c r="O115" s="92">
        <f>tbl_Ledger[[#This Row],[Amount]]+tbl_Ledger[[#This Row],[Tax Charged on Invoice]]</f>
        <v>70567.199999999997</v>
      </c>
    </row>
    <row r="116" spans="1:15" x14ac:dyDescent="0.3">
      <c r="A116" s="11"/>
      <c r="B116" s="93">
        <v>109</v>
      </c>
      <c r="C116" s="94">
        <v>46106</v>
      </c>
      <c r="D116" s="95" t="s">
        <v>465</v>
      </c>
      <c r="E116" s="95" t="s">
        <v>288</v>
      </c>
      <c r="F116" s="96" t="s">
        <v>182</v>
      </c>
      <c r="G116" s="96" t="s">
        <v>187</v>
      </c>
      <c r="H116" s="97">
        <v>73295</v>
      </c>
      <c r="I116" s="96" t="s">
        <v>466</v>
      </c>
      <c r="J116" s="97">
        <v>14659</v>
      </c>
      <c r="K116" s="92">
        <f>IF(INDEX(Cat_ChargesVAT,MATCH(tbl_Ledger[[#This Row],[Tax Category]],Cat_Codes,0))="No",0,tbl_Ledger[[#This Row],[Amount]]*VAT_Rate)</f>
        <v>10994.25</v>
      </c>
      <c r="L116" s="92">
        <f>IF(INDEX(Cat_ChargesVAT,MATCH(tbl_Ledger[[#This Row],[Tax Category]],Cat_Codes,0))="No",0,tbl_Ledger[[#This Row],[Amount]]*NHIL_Rate)</f>
        <v>1832.375</v>
      </c>
      <c r="M116" s="92">
        <f>IF(INDEX(Cat_ChargesVAT,MATCH(tbl_Ledger[[#This Row],[Tax Category]],Cat_Codes,0))="No",0,tbl_Ledger[[#This Row],[Amount]]*GETFund_Rate)</f>
        <v>1832.375</v>
      </c>
      <c r="N116" s="92">
        <f>tbl_Ledger[[#This Row],[Expected VAT]]+tbl_Ledger[[#This Row],[Expected NHIL]]+tbl_Ledger[[#This Row],[Expected GETFund]]</f>
        <v>14659</v>
      </c>
      <c r="O116" s="92">
        <f>tbl_Ledger[[#This Row],[Amount]]+tbl_Ledger[[#This Row],[Tax Charged on Invoice]]</f>
        <v>87954</v>
      </c>
    </row>
    <row r="117" spans="1:15" x14ac:dyDescent="0.3">
      <c r="A117" s="11"/>
      <c r="B117" s="93">
        <v>110</v>
      </c>
      <c r="C117" s="94">
        <v>46109</v>
      </c>
      <c r="D117" s="95" t="s">
        <v>338</v>
      </c>
      <c r="E117" s="95" t="s">
        <v>318</v>
      </c>
      <c r="F117" s="96" t="s">
        <v>201</v>
      </c>
      <c r="G117" s="96" t="s">
        <v>205</v>
      </c>
      <c r="H117" s="97">
        <v>3378</v>
      </c>
      <c r="I117" s="96" t="s">
        <v>467</v>
      </c>
      <c r="J117" s="97">
        <v>0</v>
      </c>
      <c r="K117" s="92">
        <f>IF(INDEX(Cat_ChargesVAT,MATCH(tbl_Ledger[[#This Row],[Tax Category]],Cat_Codes,0))="No",0,tbl_Ledger[[#This Row],[Amount]]*VAT_Rate)</f>
        <v>0</v>
      </c>
      <c r="L117" s="92">
        <f>IF(INDEX(Cat_ChargesVAT,MATCH(tbl_Ledger[[#This Row],[Tax Category]],Cat_Codes,0))="No",0,tbl_Ledger[[#This Row],[Amount]]*NHIL_Rate)</f>
        <v>0</v>
      </c>
      <c r="M117" s="92">
        <f>IF(INDEX(Cat_ChargesVAT,MATCH(tbl_Ledger[[#This Row],[Tax Category]],Cat_Codes,0))="No",0,tbl_Ledger[[#This Row],[Amount]]*GETFund_Rate)</f>
        <v>0</v>
      </c>
      <c r="N117" s="92">
        <f>tbl_Ledger[[#This Row],[Expected VAT]]+tbl_Ledger[[#This Row],[Expected NHIL]]+tbl_Ledger[[#This Row],[Expected GETFund]]</f>
        <v>0</v>
      </c>
      <c r="O117" s="92">
        <f>tbl_Ledger[[#This Row],[Amount]]+tbl_Ledger[[#This Row],[Tax Charged on Invoice]]</f>
        <v>3378</v>
      </c>
    </row>
    <row r="118" spans="1:15" x14ac:dyDescent="0.3">
      <c r="A118" s="11"/>
      <c r="B118" s="93">
        <v>111</v>
      </c>
      <c r="C118" s="94">
        <v>46109</v>
      </c>
      <c r="D118" s="95" t="s">
        <v>468</v>
      </c>
      <c r="E118" s="95" t="s">
        <v>288</v>
      </c>
      <c r="F118" s="96" t="s">
        <v>182</v>
      </c>
      <c r="G118" s="96" t="s">
        <v>193</v>
      </c>
      <c r="H118" s="97">
        <v>101065</v>
      </c>
      <c r="I118" s="96" t="s">
        <v>469</v>
      </c>
      <c r="J118" s="97">
        <v>20213</v>
      </c>
      <c r="K118" s="92">
        <f>IF(INDEX(Cat_ChargesVAT,MATCH(tbl_Ledger[[#This Row],[Tax Category]],Cat_Codes,0))="No",0,tbl_Ledger[[#This Row],[Amount]]*VAT_Rate)</f>
        <v>15159.75</v>
      </c>
      <c r="L118" s="92">
        <f>IF(INDEX(Cat_ChargesVAT,MATCH(tbl_Ledger[[#This Row],[Tax Category]],Cat_Codes,0))="No",0,tbl_Ledger[[#This Row],[Amount]]*NHIL_Rate)</f>
        <v>2526.625</v>
      </c>
      <c r="M118" s="92">
        <f>IF(INDEX(Cat_ChargesVAT,MATCH(tbl_Ledger[[#This Row],[Tax Category]],Cat_Codes,0))="No",0,tbl_Ledger[[#This Row],[Amount]]*GETFund_Rate)</f>
        <v>2526.625</v>
      </c>
      <c r="N118" s="92">
        <f>tbl_Ledger[[#This Row],[Expected VAT]]+tbl_Ledger[[#This Row],[Expected NHIL]]+tbl_Ledger[[#This Row],[Expected GETFund]]</f>
        <v>20213</v>
      </c>
      <c r="O118" s="92">
        <f>tbl_Ledger[[#This Row],[Amount]]+tbl_Ledger[[#This Row],[Tax Charged on Invoice]]</f>
        <v>121278</v>
      </c>
    </row>
    <row r="119" spans="1:15" x14ac:dyDescent="0.3">
      <c r="A119" s="11"/>
      <c r="B119" s="93">
        <v>112</v>
      </c>
      <c r="C119" s="94">
        <v>46109</v>
      </c>
      <c r="D119" s="95" t="s">
        <v>470</v>
      </c>
      <c r="E119" s="95" t="s">
        <v>313</v>
      </c>
      <c r="F119" s="96" t="s">
        <v>182</v>
      </c>
      <c r="G119" s="96" t="s">
        <v>187</v>
      </c>
      <c r="H119" s="97">
        <v>61906</v>
      </c>
      <c r="I119" s="96" t="s">
        <v>471</v>
      </c>
      <c r="J119" s="97">
        <v>12381.2</v>
      </c>
      <c r="K119" s="92">
        <f>IF(INDEX(Cat_ChargesVAT,MATCH(tbl_Ledger[[#This Row],[Tax Category]],Cat_Codes,0))="No",0,tbl_Ledger[[#This Row],[Amount]]*VAT_Rate)</f>
        <v>9285.9</v>
      </c>
      <c r="L119" s="92">
        <f>IF(INDEX(Cat_ChargesVAT,MATCH(tbl_Ledger[[#This Row],[Tax Category]],Cat_Codes,0))="No",0,tbl_Ledger[[#This Row],[Amount]]*NHIL_Rate)</f>
        <v>1547.65</v>
      </c>
      <c r="M119" s="92">
        <f>IF(INDEX(Cat_ChargesVAT,MATCH(tbl_Ledger[[#This Row],[Tax Category]],Cat_Codes,0))="No",0,tbl_Ledger[[#This Row],[Amount]]*GETFund_Rate)</f>
        <v>1547.65</v>
      </c>
      <c r="N119" s="92">
        <f>tbl_Ledger[[#This Row],[Expected VAT]]+tbl_Ledger[[#This Row],[Expected NHIL]]+tbl_Ledger[[#This Row],[Expected GETFund]]</f>
        <v>12381.199999999999</v>
      </c>
      <c r="O119" s="92">
        <f>tbl_Ledger[[#This Row],[Amount]]+tbl_Ledger[[#This Row],[Tax Charged on Invoice]]</f>
        <v>74287.199999999997</v>
      </c>
    </row>
    <row r="120" spans="1:15" x14ac:dyDescent="0.3">
      <c r="A120" s="11"/>
      <c r="B120" s="93">
        <v>113</v>
      </c>
      <c r="C120" s="94">
        <v>46110</v>
      </c>
      <c r="D120" s="95" t="s">
        <v>472</v>
      </c>
      <c r="E120" s="95" t="s">
        <v>429</v>
      </c>
      <c r="F120" s="96" t="s">
        <v>201</v>
      </c>
      <c r="G120" s="96" t="s">
        <v>199</v>
      </c>
      <c r="H120" s="97">
        <v>2926</v>
      </c>
      <c r="I120" s="96" t="s">
        <v>473</v>
      </c>
      <c r="J120" s="97">
        <v>585.20000000000005</v>
      </c>
      <c r="K120" s="92">
        <f>IF(INDEX(Cat_ChargesVAT,MATCH(tbl_Ledger[[#This Row],[Tax Category]],Cat_Codes,0))="No",0,tbl_Ledger[[#This Row],[Amount]]*VAT_Rate)</f>
        <v>438.9</v>
      </c>
      <c r="L120" s="92">
        <f>IF(INDEX(Cat_ChargesVAT,MATCH(tbl_Ledger[[#This Row],[Tax Category]],Cat_Codes,0))="No",0,tbl_Ledger[[#This Row],[Amount]]*NHIL_Rate)</f>
        <v>73.150000000000006</v>
      </c>
      <c r="M120" s="92">
        <f>IF(INDEX(Cat_ChargesVAT,MATCH(tbl_Ledger[[#This Row],[Tax Category]],Cat_Codes,0))="No",0,tbl_Ledger[[#This Row],[Amount]]*GETFund_Rate)</f>
        <v>73.150000000000006</v>
      </c>
      <c r="N120" s="92">
        <f>tbl_Ledger[[#This Row],[Expected VAT]]+tbl_Ledger[[#This Row],[Expected NHIL]]+tbl_Ledger[[#This Row],[Expected GETFund]]</f>
        <v>585.19999999999993</v>
      </c>
      <c r="O120" s="92">
        <f>tbl_Ledger[[#This Row],[Amount]]+tbl_Ledger[[#This Row],[Tax Charged on Invoice]]</f>
        <v>3511.2</v>
      </c>
    </row>
    <row r="121" spans="1:15" x14ac:dyDescent="0.3">
      <c r="A121" s="11"/>
      <c r="B121" s="93">
        <v>114</v>
      </c>
      <c r="C121" s="94">
        <v>46110</v>
      </c>
      <c r="D121" s="95" t="s">
        <v>290</v>
      </c>
      <c r="E121" s="95" t="s">
        <v>256</v>
      </c>
      <c r="F121" s="96" t="s">
        <v>201</v>
      </c>
      <c r="G121" s="96" t="s">
        <v>199</v>
      </c>
      <c r="H121" s="97">
        <v>8752</v>
      </c>
      <c r="I121" s="96"/>
      <c r="J121" s="97">
        <v>1750.4</v>
      </c>
      <c r="K121" s="92">
        <f>IF(INDEX(Cat_ChargesVAT,MATCH(tbl_Ledger[[#This Row],[Tax Category]],Cat_Codes,0))="No",0,tbl_Ledger[[#This Row],[Amount]]*VAT_Rate)</f>
        <v>1312.8</v>
      </c>
      <c r="L121" s="92">
        <f>IF(INDEX(Cat_ChargesVAT,MATCH(tbl_Ledger[[#This Row],[Tax Category]],Cat_Codes,0))="No",0,tbl_Ledger[[#This Row],[Amount]]*NHIL_Rate)</f>
        <v>218.8</v>
      </c>
      <c r="M121" s="92">
        <f>IF(INDEX(Cat_ChargesVAT,MATCH(tbl_Ledger[[#This Row],[Tax Category]],Cat_Codes,0))="No",0,tbl_Ledger[[#This Row],[Amount]]*GETFund_Rate)</f>
        <v>218.8</v>
      </c>
      <c r="N121" s="92">
        <f>tbl_Ledger[[#This Row],[Expected VAT]]+tbl_Ledger[[#This Row],[Expected NHIL]]+tbl_Ledger[[#This Row],[Expected GETFund]]</f>
        <v>1750.3999999999999</v>
      </c>
      <c r="O121" s="92">
        <f>tbl_Ledger[[#This Row],[Amount]]+tbl_Ledger[[#This Row],[Tax Charged on Invoice]]</f>
        <v>10502.4</v>
      </c>
    </row>
    <row r="122" spans="1:15" x14ac:dyDescent="0.3">
      <c r="A122" s="11"/>
      <c r="B122" s="93">
        <v>115</v>
      </c>
      <c r="C122" s="94">
        <v>46110</v>
      </c>
      <c r="D122" s="95" t="s">
        <v>474</v>
      </c>
      <c r="E122" s="95" t="s">
        <v>250</v>
      </c>
      <c r="F122" s="96" t="s">
        <v>182</v>
      </c>
      <c r="G122" s="96" t="s">
        <v>179</v>
      </c>
      <c r="H122" s="97">
        <v>72134</v>
      </c>
      <c r="I122" s="96" t="s">
        <v>475</v>
      </c>
      <c r="J122" s="97">
        <v>14426.8</v>
      </c>
      <c r="K122" s="92">
        <f>IF(INDEX(Cat_ChargesVAT,MATCH(tbl_Ledger[[#This Row],[Tax Category]],Cat_Codes,0))="No",0,tbl_Ledger[[#This Row],[Amount]]*VAT_Rate)</f>
        <v>10820.1</v>
      </c>
      <c r="L122" s="92">
        <f>IF(INDEX(Cat_ChargesVAT,MATCH(tbl_Ledger[[#This Row],[Tax Category]],Cat_Codes,0))="No",0,tbl_Ledger[[#This Row],[Amount]]*NHIL_Rate)</f>
        <v>1803.3500000000001</v>
      </c>
      <c r="M122" s="92">
        <f>IF(INDEX(Cat_ChargesVAT,MATCH(tbl_Ledger[[#This Row],[Tax Category]],Cat_Codes,0))="No",0,tbl_Ledger[[#This Row],[Amount]]*GETFund_Rate)</f>
        <v>1803.3500000000001</v>
      </c>
      <c r="N122" s="92">
        <f>tbl_Ledger[[#This Row],[Expected VAT]]+tbl_Ledger[[#This Row],[Expected NHIL]]+tbl_Ledger[[#This Row],[Expected GETFund]]</f>
        <v>14426.800000000001</v>
      </c>
      <c r="O122" s="92">
        <f>tbl_Ledger[[#This Row],[Amount]]+tbl_Ledger[[#This Row],[Tax Charged on Invoice]]</f>
        <v>86560.8</v>
      </c>
    </row>
    <row r="123" spans="1:15" x14ac:dyDescent="0.3">
      <c r="A123" s="11"/>
      <c r="B123" s="93">
        <v>116</v>
      </c>
      <c r="C123" s="94">
        <v>46112</v>
      </c>
      <c r="D123" s="95" t="s">
        <v>476</v>
      </c>
      <c r="E123" s="95" t="s">
        <v>345</v>
      </c>
      <c r="F123" s="96" t="s">
        <v>201</v>
      </c>
      <c r="G123" s="96" t="s">
        <v>212</v>
      </c>
      <c r="H123" s="97">
        <v>119432</v>
      </c>
      <c r="I123" s="96" t="s">
        <v>477</v>
      </c>
      <c r="J123" s="97">
        <v>0</v>
      </c>
      <c r="K123" s="92">
        <f>IF(INDEX(Cat_ChargesVAT,MATCH(tbl_Ledger[[#This Row],[Tax Category]],Cat_Codes,0))="No",0,tbl_Ledger[[#This Row],[Amount]]*VAT_Rate)</f>
        <v>0</v>
      </c>
      <c r="L123" s="92">
        <f>IF(INDEX(Cat_ChargesVAT,MATCH(tbl_Ledger[[#This Row],[Tax Category]],Cat_Codes,0))="No",0,tbl_Ledger[[#This Row],[Amount]]*NHIL_Rate)</f>
        <v>0</v>
      </c>
      <c r="M123" s="92">
        <f>IF(INDEX(Cat_ChargesVAT,MATCH(tbl_Ledger[[#This Row],[Tax Category]],Cat_Codes,0))="No",0,tbl_Ledger[[#This Row],[Amount]]*GETFund_Rate)</f>
        <v>0</v>
      </c>
      <c r="N123" s="92">
        <f>tbl_Ledger[[#This Row],[Expected VAT]]+tbl_Ledger[[#This Row],[Expected NHIL]]+tbl_Ledger[[#This Row],[Expected GETFund]]</f>
        <v>0</v>
      </c>
      <c r="O123" s="92">
        <f>tbl_Ledger[[#This Row],[Amount]]+tbl_Ledger[[#This Row],[Tax Charged on Invoice]]</f>
        <v>119432</v>
      </c>
    </row>
    <row r="124" spans="1:15" x14ac:dyDescent="0.3">
      <c r="A124" s="11"/>
      <c r="B124" s="93">
        <v>117</v>
      </c>
      <c r="C124" s="94">
        <v>46113</v>
      </c>
      <c r="D124" s="95" t="s">
        <v>365</v>
      </c>
      <c r="E124" s="95" t="s">
        <v>382</v>
      </c>
      <c r="F124" s="96" t="s">
        <v>201</v>
      </c>
      <c r="G124" s="96" t="s">
        <v>219</v>
      </c>
      <c r="H124" s="97">
        <v>1376</v>
      </c>
      <c r="I124" s="96" t="s">
        <v>478</v>
      </c>
      <c r="J124" s="97">
        <v>275.2</v>
      </c>
      <c r="K124" s="92">
        <f>IF(INDEX(Cat_ChargesVAT,MATCH(tbl_Ledger[[#This Row],[Tax Category]],Cat_Codes,0))="No",0,tbl_Ledger[[#This Row],[Amount]]*VAT_Rate)</f>
        <v>206.4</v>
      </c>
      <c r="L124" s="92">
        <f>IF(INDEX(Cat_ChargesVAT,MATCH(tbl_Ledger[[#This Row],[Tax Category]],Cat_Codes,0))="No",0,tbl_Ledger[[#This Row],[Amount]]*NHIL_Rate)</f>
        <v>34.4</v>
      </c>
      <c r="M124" s="92">
        <f>IF(INDEX(Cat_ChargesVAT,MATCH(tbl_Ledger[[#This Row],[Tax Category]],Cat_Codes,0))="No",0,tbl_Ledger[[#This Row],[Amount]]*GETFund_Rate)</f>
        <v>34.4</v>
      </c>
      <c r="N124" s="92">
        <f>tbl_Ledger[[#This Row],[Expected VAT]]+tbl_Ledger[[#This Row],[Expected NHIL]]+tbl_Ledger[[#This Row],[Expected GETFund]]</f>
        <v>275.2</v>
      </c>
      <c r="O124" s="92">
        <f>tbl_Ledger[[#This Row],[Amount]]+tbl_Ledger[[#This Row],[Tax Charged on Invoice]]</f>
        <v>1651.2</v>
      </c>
    </row>
    <row r="125" spans="1:15" x14ac:dyDescent="0.3">
      <c r="A125" s="11"/>
      <c r="B125" s="93">
        <v>118</v>
      </c>
      <c r="C125" s="94">
        <v>46113</v>
      </c>
      <c r="D125" s="95" t="s">
        <v>342</v>
      </c>
      <c r="E125" s="95" t="s">
        <v>322</v>
      </c>
      <c r="F125" s="96" t="s">
        <v>201</v>
      </c>
      <c r="G125" s="96" t="s">
        <v>199</v>
      </c>
      <c r="H125" s="97">
        <v>5980</v>
      </c>
      <c r="I125" s="96" t="s">
        <v>479</v>
      </c>
      <c r="J125" s="97">
        <v>1196</v>
      </c>
      <c r="K125" s="92">
        <f>IF(INDEX(Cat_ChargesVAT,MATCH(tbl_Ledger[[#This Row],[Tax Category]],Cat_Codes,0))="No",0,tbl_Ledger[[#This Row],[Amount]]*VAT_Rate)</f>
        <v>897</v>
      </c>
      <c r="L125" s="92">
        <f>IF(INDEX(Cat_ChargesVAT,MATCH(tbl_Ledger[[#This Row],[Tax Category]],Cat_Codes,0))="No",0,tbl_Ledger[[#This Row],[Amount]]*NHIL_Rate)</f>
        <v>149.5</v>
      </c>
      <c r="M125" s="92">
        <f>IF(INDEX(Cat_ChargesVAT,MATCH(tbl_Ledger[[#This Row],[Tax Category]],Cat_Codes,0))="No",0,tbl_Ledger[[#This Row],[Amount]]*GETFund_Rate)</f>
        <v>149.5</v>
      </c>
      <c r="N125" s="92">
        <f>tbl_Ledger[[#This Row],[Expected VAT]]+tbl_Ledger[[#This Row],[Expected NHIL]]+tbl_Ledger[[#This Row],[Expected GETFund]]</f>
        <v>1196</v>
      </c>
      <c r="O125" s="92">
        <f>tbl_Ledger[[#This Row],[Amount]]+tbl_Ledger[[#This Row],[Tax Charged on Invoice]]</f>
        <v>7176</v>
      </c>
    </row>
    <row r="126" spans="1:15" x14ac:dyDescent="0.3">
      <c r="A126" s="11"/>
      <c r="B126" s="93">
        <v>119</v>
      </c>
      <c r="C126" s="94">
        <v>46117</v>
      </c>
      <c r="D126" s="95" t="s">
        <v>397</v>
      </c>
      <c r="E126" s="95" t="s">
        <v>318</v>
      </c>
      <c r="F126" s="96" t="s">
        <v>201</v>
      </c>
      <c r="G126" s="96" t="s">
        <v>205</v>
      </c>
      <c r="H126" s="97">
        <v>2138</v>
      </c>
      <c r="I126" s="96" t="s">
        <v>480</v>
      </c>
      <c r="J126" s="97">
        <v>0</v>
      </c>
      <c r="K126" s="92">
        <f>IF(INDEX(Cat_ChargesVAT,MATCH(tbl_Ledger[[#This Row],[Tax Category]],Cat_Codes,0))="No",0,tbl_Ledger[[#This Row],[Amount]]*VAT_Rate)</f>
        <v>0</v>
      </c>
      <c r="L126" s="92">
        <f>IF(INDEX(Cat_ChargesVAT,MATCH(tbl_Ledger[[#This Row],[Tax Category]],Cat_Codes,0))="No",0,tbl_Ledger[[#This Row],[Amount]]*NHIL_Rate)</f>
        <v>0</v>
      </c>
      <c r="M126" s="92">
        <f>IF(INDEX(Cat_ChargesVAT,MATCH(tbl_Ledger[[#This Row],[Tax Category]],Cat_Codes,0))="No",0,tbl_Ledger[[#This Row],[Amount]]*GETFund_Rate)</f>
        <v>0</v>
      </c>
      <c r="N126" s="92">
        <f>tbl_Ledger[[#This Row],[Expected VAT]]+tbl_Ledger[[#This Row],[Expected NHIL]]+tbl_Ledger[[#This Row],[Expected GETFund]]</f>
        <v>0</v>
      </c>
      <c r="O126" s="92">
        <f>tbl_Ledger[[#This Row],[Amount]]+tbl_Ledger[[#This Row],[Tax Charged on Invoice]]</f>
        <v>2138</v>
      </c>
    </row>
    <row r="127" spans="1:15" x14ac:dyDescent="0.3">
      <c r="A127" s="11"/>
      <c r="B127" s="93">
        <v>120</v>
      </c>
      <c r="C127" s="94">
        <v>46117</v>
      </c>
      <c r="D127" s="95" t="s">
        <v>306</v>
      </c>
      <c r="E127" s="95" t="s">
        <v>307</v>
      </c>
      <c r="F127" s="96" t="s">
        <v>201</v>
      </c>
      <c r="G127" s="96" t="s">
        <v>219</v>
      </c>
      <c r="H127" s="97">
        <v>7230</v>
      </c>
      <c r="I127" s="96" t="s">
        <v>481</v>
      </c>
      <c r="J127" s="97">
        <v>1446</v>
      </c>
      <c r="K127" s="92">
        <f>IF(INDEX(Cat_ChargesVAT,MATCH(tbl_Ledger[[#This Row],[Tax Category]],Cat_Codes,0))="No",0,tbl_Ledger[[#This Row],[Amount]]*VAT_Rate)</f>
        <v>1084.5</v>
      </c>
      <c r="L127" s="92">
        <f>IF(INDEX(Cat_ChargesVAT,MATCH(tbl_Ledger[[#This Row],[Tax Category]],Cat_Codes,0))="No",0,tbl_Ledger[[#This Row],[Amount]]*NHIL_Rate)</f>
        <v>180.75</v>
      </c>
      <c r="M127" s="92">
        <f>IF(INDEX(Cat_ChargesVAT,MATCH(tbl_Ledger[[#This Row],[Tax Category]],Cat_Codes,0))="No",0,tbl_Ledger[[#This Row],[Amount]]*GETFund_Rate)</f>
        <v>180.75</v>
      </c>
      <c r="N127" s="92">
        <f>tbl_Ledger[[#This Row],[Expected VAT]]+tbl_Ledger[[#This Row],[Expected NHIL]]+tbl_Ledger[[#This Row],[Expected GETFund]]</f>
        <v>1446</v>
      </c>
      <c r="O127" s="92">
        <f>tbl_Ledger[[#This Row],[Amount]]+tbl_Ledger[[#This Row],[Tax Charged on Invoice]]</f>
        <v>8676</v>
      </c>
    </row>
    <row r="128" spans="1:15" x14ac:dyDescent="0.3">
      <c r="A128" s="11"/>
      <c r="B128" s="93">
        <v>121</v>
      </c>
      <c r="C128" s="94">
        <v>46120</v>
      </c>
      <c r="D128" s="95" t="s">
        <v>482</v>
      </c>
      <c r="E128" s="95" t="s">
        <v>288</v>
      </c>
      <c r="F128" s="96" t="s">
        <v>182</v>
      </c>
      <c r="G128" s="96" t="s">
        <v>187</v>
      </c>
      <c r="H128" s="97">
        <v>40648</v>
      </c>
      <c r="I128" s="96" t="s">
        <v>483</v>
      </c>
      <c r="J128" s="97">
        <v>8129.6</v>
      </c>
      <c r="K128" s="92">
        <f>IF(INDEX(Cat_ChargesVAT,MATCH(tbl_Ledger[[#This Row],[Tax Category]],Cat_Codes,0))="No",0,tbl_Ledger[[#This Row],[Amount]]*VAT_Rate)</f>
        <v>6097.2</v>
      </c>
      <c r="L128" s="92">
        <f>IF(INDEX(Cat_ChargesVAT,MATCH(tbl_Ledger[[#This Row],[Tax Category]],Cat_Codes,0))="No",0,tbl_Ledger[[#This Row],[Amount]]*NHIL_Rate)</f>
        <v>1016.2</v>
      </c>
      <c r="M128" s="92">
        <f>IF(INDEX(Cat_ChargesVAT,MATCH(tbl_Ledger[[#This Row],[Tax Category]],Cat_Codes,0))="No",0,tbl_Ledger[[#This Row],[Amount]]*GETFund_Rate)</f>
        <v>1016.2</v>
      </c>
      <c r="N128" s="92">
        <f>tbl_Ledger[[#This Row],[Expected VAT]]+tbl_Ledger[[#This Row],[Expected NHIL]]+tbl_Ledger[[#This Row],[Expected GETFund]]</f>
        <v>8129.5999999999995</v>
      </c>
      <c r="O128" s="92">
        <f>tbl_Ledger[[#This Row],[Amount]]+tbl_Ledger[[#This Row],[Tax Charged on Invoice]]</f>
        <v>48777.599999999999</v>
      </c>
    </row>
    <row r="129" spans="1:15" x14ac:dyDescent="0.3">
      <c r="A129" s="11"/>
      <c r="B129" s="93">
        <v>122</v>
      </c>
      <c r="C129" s="94">
        <v>46123</v>
      </c>
      <c r="D129" s="95" t="s">
        <v>484</v>
      </c>
      <c r="E129" s="95" t="s">
        <v>275</v>
      </c>
      <c r="F129" s="96" t="s">
        <v>201</v>
      </c>
      <c r="G129" s="96" t="s">
        <v>212</v>
      </c>
      <c r="H129" s="97">
        <v>25825</v>
      </c>
      <c r="I129" s="96" t="s">
        <v>485</v>
      </c>
      <c r="J129" s="97">
        <v>0</v>
      </c>
      <c r="K129" s="92">
        <f>IF(INDEX(Cat_ChargesVAT,MATCH(tbl_Ledger[[#This Row],[Tax Category]],Cat_Codes,0))="No",0,tbl_Ledger[[#This Row],[Amount]]*VAT_Rate)</f>
        <v>0</v>
      </c>
      <c r="L129" s="92">
        <f>IF(INDEX(Cat_ChargesVAT,MATCH(tbl_Ledger[[#This Row],[Tax Category]],Cat_Codes,0))="No",0,tbl_Ledger[[#This Row],[Amount]]*NHIL_Rate)</f>
        <v>0</v>
      </c>
      <c r="M129" s="92">
        <f>IF(INDEX(Cat_ChargesVAT,MATCH(tbl_Ledger[[#This Row],[Tax Category]],Cat_Codes,0))="No",0,tbl_Ledger[[#This Row],[Amount]]*GETFund_Rate)</f>
        <v>0</v>
      </c>
      <c r="N129" s="92">
        <f>tbl_Ledger[[#This Row],[Expected VAT]]+tbl_Ledger[[#This Row],[Expected NHIL]]+tbl_Ledger[[#This Row],[Expected GETFund]]</f>
        <v>0</v>
      </c>
      <c r="O129" s="92">
        <f>tbl_Ledger[[#This Row],[Amount]]+tbl_Ledger[[#This Row],[Tax Charged on Invoice]]</f>
        <v>25825</v>
      </c>
    </row>
    <row r="130" spans="1:15" x14ac:dyDescent="0.3">
      <c r="A130" s="11"/>
      <c r="B130" s="93">
        <v>123</v>
      </c>
      <c r="C130" s="94">
        <v>46124</v>
      </c>
      <c r="D130" s="95" t="s">
        <v>338</v>
      </c>
      <c r="E130" s="95" t="s">
        <v>318</v>
      </c>
      <c r="F130" s="96" t="s">
        <v>201</v>
      </c>
      <c r="G130" s="96" t="s">
        <v>205</v>
      </c>
      <c r="H130" s="97">
        <v>1971</v>
      </c>
      <c r="I130" s="96" t="s">
        <v>486</v>
      </c>
      <c r="J130" s="97">
        <v>0</v>
      </c>
      <c r="K130" s="92">
        <f>IF(INDEX(Cat_ChargesVAT,MATCH(tbl_Ledger[[#This Row],[Tax Category]],Cat_Codes,0))="No",0,tbl_Ledger[[#This Row],[Amount]]*VAT_Rate)</f>
        <v>0</v>
      </c>
      <c r="L130" s="92">
        <f>IF(INDEX(Cat_ChargesVAT,MATCH(tbl_Ledger[[#This Row],[Tax Category]],Cat_Codes,0))="No",0,tbl_Ledger[[#This Row],[Amount]]*NHIL_Rate)</f>
        <v>0</v>
      </c>
      <c r="M130" s="92">
        <f>IF(INDEX(Cat_ChargesVAT,MATCH(tbl_Ledger[[#This Row],[Tax Category]],Cat_Codes,0))="No",0,tbl_Ledger[[#This Row],[Amount]]*GETFund_Rate)</f>
        <v>0</v>
      </c>
      <c r="N130" s="92">
        <f>tbl_Ledger[[#This Row],[Expected VAT]]+tbl_Ledger[[#This Row],[Expected NHIL]]+tbl_Ledger[[#This Row],[Expected GETFund]]</f>
        <v>0</v>
      </c>
      <c r="O130" s="92">
        <f>tbl_Ledger[[#This Row],[Amount]]+tbl_Ledger[[#This Row],[Tax Charged on Invoice]]</f>
        <v>1971</v>
      </c>
    </row>
    <row r="131" spans="1:15" x14ac:dyDescent="0.3">
      <c r="A131" s="11"/>
      <c r="B131" s="93">
        <v>124</v>
      </c>
      <c r="C131" s="94">
        <v>46124</v>
      </c>
      <c r="D131" s="95" t="s">
        <v>487</v>
      </c>
      <c r="E131" s="95" t="s">
        <v>268</v>
      </c>
      <c r="F131" s="96" t="s">
        <v>201</v>
      </c>
      <c r="G131" s="96" t="s">
        <v>205</v>
      </c>
      <c r="H131" s="97">
        <v>81106</v>
      </c>
      <c r="I131" s="96" t="s">
        <v>488</v>
      </c>
      <c r="J131" s="97">
        <v>0</v>
      </c>
      <c r="K131" s="92">
        <f>IF(INDEX(Cat_ChargesVAT,MATCH(tbl_Ledger[[#This Row],[Tax Category]],Cat_Codes,0))="No",0,tbl_Ledger[[#This Row],[Amount]]*VAT_Rate)</f>
        <v>0</v>
      </c>
      <c r="L131" s="92">
        <f>IF(INDEX(Cat_ChargesVAT,MATCH(tbl_Ledger[[#This Row],[Tax Category]],Cat_Codes,0))="No",0,tbl_Ledger[[#This Row],[Amount]]*NHIL_Rate)</f>
        <v>0</v>
      </c>
      <c r="M131" s="92">
        <f>IF(INDEX(Cat_ChargesVAT,MATCH(tbl_Ledger[[#This Row],[Tax Category]],Cat_Codes,0))="No",0,tbl_Ledger[[#This Row],[Amount]]*GETFund_Rate)</f>
        <v>0</v>
      </c>
      <c r="N131" s="92">
        <f>tbl_Ledger[[#This Row],[Expected VAT]]+tbl_Ledger[[#This Row],[Expected NHIL]]+tbl_Ledger[[#This Row],[Expected GETFund]]</f>
        <v>0</v>
      </c>
      <c r="O131" s="92">
        <f>tbl_Ledger[[#This Row],[Amount]]+tbl_Ledger[[#This Row],[Tax Charged on Invoice]]</f>
        <v>81106</v>
      </c>
    </row>
    <row r="132" spans="1:15" x14ac:dyDescent="0.3">
      <c r="A132" s="11"/>
      <c r="B132" s="93">
        <v>125</v>
      </c>
      <c r="C132" s="94">
        <v>46125</v>
      </c>
      <c r="D132" s="95" t="s">
        <v>280</v>
      </c>
      <c r="E132" s="95" t="s">
        <v>322</v>
      </c>
      <c r="F132" s="96" t="s">
        <v>201</v>
      </c>
      <c r="G132" s="96" t="s">
        <v>199</v>
      </c>
      <c r="H132" s="97">
        <v>8889</v>
      </c>
      <c r="I132" s="96" t="s">
        <v>489</v>
      </c>
      <c r="J132" s="97">
        <v>1777.8</v>
      </c>
      <c r="K132" s="92">
        <f>IF(INDEX(Cat_ChargesVAT,MATCH(tbl_Ledger[[#This Row],[Tax Category]],Cat_Codes,0))="No",0,tbl_Ledger[[#This Row],[Amount]]*VAT_Rate)</f>
        <v>1333.35</v>
      </c>
      <c r="L132" s="92">
        <f>IF(INDEX(Cat_ChargesVAT,MATCH(tbl_Ledger[[#This Row],[Tax Category]],Cat_Codes,0))="No",0,tbl_Ledger[[#This Row],[Amount]]*NHIL_Rate)</f>
        <v>222.22500000000002</v>
      </c>
      <c r="M132" s="92">
        <f>IF(INDEX(Cat_ChargesVAT,MATCH(tbl_Ledger[[#This Row],[Tax Category]],Cat_Codes,0))="No",0,tbl_Ledger[[#This Row],[Amount]]*GETFund_Rate)</f>
        <v>222.22500000000002</v>
      </c>
      <c r="N132" s="92">
        <f>tbl_Ledger[[#This Row],[Expected VAT]]+tbl_Ledger[[#This Row],[Expected NHIL]]+tbl_Ledger[[#This Row],[Expected GETFund]]</f>
        <v>1777.7999999999997</v>
      </c>
      <c r="O132" s="92">
        <f>tbl_Ledger[[#This Row],[Amount]]+tbl_Ledger[[#This Row],[Tax Charged on Invoice]]</f>
        <v>10666.8</v>
      </c>
    </row>
    <row r="133" spans="1:15" x14ac:dyDescent="0.3">
      <c r="A133" s="11"/>
      <c r="B133" s="93">
        <v>126</v>
      </c>
      <c r="C133" s="94">
        <v>46125</v>
      </c>
      <c r="D133" s="95" t="s">
        <v>403</v>
      </c>
      <c r="E133" s="95" t="s">
        <v>278</v>
      </c>
      <c r="F133" s="96" t="s">
        <v>201</v>
      </c>
      <c r="G133" s="96" t="s">
        <v>212</v>
      </c>
      <c r="H133" s="97">
        <v>22607</v>
      </c>
      <c r="I133" s="96" t="s">
        <v>490</v>
      </c>
      <c r="J133" s="97">
        <v>0</v>
      </c>
      <c r="K133" s="92">
        <f>IF(INDEX(Cat_ChargesVAT,MATCH(tbl_Ledger[[#This Row],[Tax Category]],Cat_Codes,0))="No",0,tbl_Ledger[[#This Row],[Amount]]*VAT_Rate)</f>
        <v>0</v>
      </c>
      <c r="L133" s="92">
        <f>IF(INDEX(Cat_ChargesVAT,MATCH(tbl_Ledger[[#This Row],[Tax Category]],Cat_Codes,0))="No",0,tbl_Ledger[[#This Row],[Amount]]*NHIL_Rate)</f>
        <v>0</v>
      </c>
      <c r="M133" s="92">
        <f>IF(INDEX(Cat_ChargesVAT,MATCH(tbl_Ledger[[#This Row],[Tax Category]],Cat_Codes,0))="No",0,tbl_Ledger[[#This Row],[Amount]]*GETFund_Rate)</f>
        <v>0</v>
      </c>
      <c r="N133" s="92">
        <f>tbl_Ledger[[#This Row],[Expected VAT]]+tbl_Ledger[[#This Row],[Expected NHIL]]+tbl_Ledger[[#This Row],[Expected GETFund]]</f>
        <v>0</v>
      </c>
      <c r="O133" s="92">
        <f>tbl_Ledger[[#This Row],[Amount]]+tbl_Ledger[[#This Row],[Tax Charged on Invoice]]</f>
        <v>22607</v>
      </c>
    </row>
    <row r="134" spans="1:15" x14ac:dyDescent="0.3">
      <c r="A134" s="11"/>
      <c r="B134" s="93">
        <v>127</v>
      </c>
      <c r="C134" s="94">
        <v>46125</v>
      </c>
      <c r="D134" s="95" t="s">
        <v>491</v>
      </c>
      <c r="E134" s="95" t="s">
        <v>261</v>
      </c>
      <c r="F134" s="96" t="s">
        <v>182</v>
      </c>
      <c r="G134" s="96" t="s">
        <v>179</v>
      </c>
      <c r="H134" s="97">
        <v>60086</v>
      </c>
      <c r="I134" s="96" t="s">
        <v>492</v>
      </c>
      <c r="J134" s="97">
        <v>12017.2</v>
      </c>
      <c r="K134" s="92">
        <f>IF(INDEX(Cat_ChargesVAT,MATCH(tbl_Ledger[[#This Row],[Tax Category]],Cat_Codes,0))="No",0,tbl_Ledger[[#This Row],[Amount]]*VAT_Rate)</f>
        <v>9012.9</v>
      </c>
      <c r="L134" s="92">
        <f>IF(INDEX(Cat_ChargesVAT,MATCH(tbl_Ledger[[#This Row],[Tax Category]],Cat_Codes,0))="No",0,tbl_Ledger[[#This Row],[Amount]]*NHIL_Rate)</f>
        <v>1502.15</v>
      </c>
      <c r="M134" s="92">
        <f>IF(INDEX(Cat_ChargesVAT,MATCH(tbl_Ledger[[#This Row],[Tax Category]],Cat_Codes,0))="No",0,tbl_Ledger[[#This Row],[Amount]]*GETFund_Rate)</f>
        <v>1502.15</v>
      </c>
      <c r="N134" s="92">
        <f>tbl_Ledger[[#This Row],[Expected VAT]]+tbl_Ledger[[#This Row],[Expected NHIL]]+tbl_Ledger[[#This Row],[Expected GETFund]]</f>
        <v>12017.199999999999</v>
      </c>
      <c r="O134" s="92">
        <f>tbl_Ledger[[#This Row],[Amount]]+tbl_Ledger[[#This Row],[Tax Charged on Invoice]]</f>
        <v>72103.199999999997</v>
      </c>
    </row>
    <row r="135" spans="1:15" x14ac:dyDescent="0.3">
      <c r="A135" s="11"/>
      <c r="B135" s="93">
        <v>128</v>
      </c>
      <c r="C135" s="94">
        <v>46126</v>
      </c>
      <c r="D135" s="95" t="s">
        <v>309</v>
      </c>
      <c r="E135" s="95" t="s">
        <v>291</v>
      </c>
      <c r="F135" s="96" t="s">
        <v>201</v>
      </c>
      <c r="G135" s="96" t="s">
        <v>199</v>
      </c>
      <c r="H135" s="97">
        <v>4299</v>
      </c>
      <c r="I135" s="96" t="s">
        <v>493</v>
      </c>
      <c r="J135" s="97">
        <v>859.8</v>
      </c>
      <c r="K135" s="92">
        <f>IF(INDEX(Cat_ChargesVAT,MATCH(tbl_Ledger[[#This Row],[Tax Category]],Cat_Codes,0))="No",0,tbl_Ledger[[#This Row],[Amount]]*VAT_Rate)</f>
        <v>644.85</v>
      </c>
      <c r="L135" s="92">
        <f>IF(INDEX(Cat_ChargesVAT,MATCH(tbl_Ledger[[#This Row],[Tax Category]],Cat_Codes,0))="No",0,tbl_Ledger[[#This Row],[Amount]]*NHIL_Rate)</f>
        <v>107.47500000000001</v>
      </c>
      <c r="M135" s="92">
        <f>IF(INDEX(Cat_ChargesVAT,MATCH(tbl_Ledger[[#This Row],[Tax Category]],Cat_Codes,0))="No",0,tbl_Ledger[[#This Row],[Amount]]*GETFund_Rate)</f>
        <v>107.47500000000001</v>
      </c>
      <c r="N135" s="92">
        <f>tbl_Ledger[[#This Row],[Expected VAT]]+tbl_Ledger[[#This Row],[Expected NHIL]]+tbl_Ledger[[#This Row],[Expected GETFund]]</f>
        <v>859.80000000000007</v>
      </c>
      <c r="O135" s="92">
        <f>tbl_Ledger[[#This Row],[Amount]]+tbl_Ledger[[#This Row],[Tax Charged on Invoice]]</f>
        <v>5158.8</v>
      </c>
    </row>
    <row r="136" spans="1:15" x14ac:dyDescent="0.3">
      <c r="A136" s="11"/>
      <c r="B136" s="93">
        <v>129</v>
      </c>
      <c r="C136" s="94">
        <v>46127</v>
      </c>
      <c r="D136" s="95" t="s">
        <v>494</v>
      </c>
      <c r="E136" s="95" t="s">
        <v>278</v>
      </c>
      <c r="F136" s="96" t="s">
        <v>201</v>
      </c>
      <c r="G136" s="96" t="s">
        <v>212</v>
      </c>
      <c r="H136" s="97">
        <v>58011</v>
      </c>
      <c r="I136" s="96" t="s">
        <v>495</v>
      </c>
      <c r="J136" s="97">
        <v>0</v>
      </c>
      <c r="K136" s="92">
        <f>IF(INDEX(Cat_ChargesVAT,MATCH(tbl_Ledger[[#This Row],[Tax Category]],Cat_Codes,0))="No",0,tbl_Ledger[[#This Row],[Amount]]*VAT_Rate)</f>
        <v>0</v>
      </c>
      <c r="L136" s="92">
        <f>IF(INDEX(Cat_ChargesVAT,MATCH(tbl_Ledger[[#This Row],[Tax Category]],Cat_Codes,0))="No",0,tbl_Ledger[[#This Row],[Amount]]*NHIL_Rate)</f>
        <v>0</v>
      </c>
      <c r="M136" s="92">
        <f>IF(INDEX(Cat_ChargesVAT,MATCH(tbl_Ledger[[#This Row],[Tax Category]],Cat_Codes,0))="No",0,tbl_Ledger[[#This Row],[Amount]]*GETFund_Rate)</f>
        <v>0</v>
      </c>
      <c r="N136" s="92">
        <f>tbl_Ledger[[#This Row],[Expected VAT]]+tbl_Ledger[[#This Row],[Expected NHIL]]+tbl_Ledger[[#This Row],[Expected GETFund]]</f>
        <v>0</v>
      </c>
      <c r="O136" s="92">
        <f>tbl_Ledger[[#This Row],[Amount]]+tbl_Ledger[[#This Row],[Tax Charged on Invoice]]</f>
        <v>58011</v>
      </c>
    </row>
    <row r="137" spans="1:15" x14ac:dyDescent="0.3">
      <c r="A137" s="11"/>
      <c r="B137" s="93">
        <v>130</v>
      </c>
      <c r="C137" s="94">
        <v>46128</v>
      </c>
      <c r="D137" s="95" t="s">
        <v>290</v>
      </c>
      <c r="E137" s="95" t="s">
        <v>496</v>
      </c>
      <c r="F137" s="96" t="s">
        <v>201</v>
      </c>
      <c r="G137" s="96" t="s">
        <v>199</v>
      </c>
      <c r="H137" s="97">
        <v>3151</v>
      </c>
      <c r="I137" s="96" t="s">
        <v>497</v>
      </c>
      <c r="J137" s="97">
        <v>630.20000000000005</v>
      </c>
      <c r="K137" s="92">
        <f>IF(INDEX(Cat_ChargesVAT,MATCH(tbl_Ledger[[#This Row],[Tax Category]],Cat_Codes,0))="No",0,tbl_Ledger[[#This Row],[Amount]]*VAT_Rate)</f>
        <v>472.65</v>
      </c>
      <c r="L137" s="92">
        <f>IF(INDEX(Cat_ChargesVAT,MATCH(tbl_Ledger[[#This Row],[Tax Category]],Cat_Codes,0))="No",0,tbl_Ledger[[#This Row],[Amount]]*NHIL_Rate)</f>
        <v>78.775000000000006</v>
      </c>
      <c r="M137" s="92">
        <f>IF(INDEX(Cat_ChargesVAT,MATCH(tbl_Ledger[[#This Row],[Tax Category]],Cat_Codes,0))="No",0,tbl_Ledger[[#This Row],[Amount]]*GETFund_Rate)</f>
        <v>78.775000000000006</v>
      </c>
      <c r="N137" s="92">
        <f>tbl_Ledger[[#This Row],[Expected VAT]]+tbl_Ledger[[#This Row],[Expected NHIL]]+tbl_Ledger[[#This Row],[Expected GETFund]]</f>
        <v>630.19999999999993</v>
      </c>
      <c r="O137" s="92">
        <f>tbl_Ledger[[#This Row],[Amount]]+tbl_Ledger[[#This Row],[Tax Charged on Invoice]]</f>
        <v>3781.2</v>
      </c>
    </row>
    <row r="138" spans="1:15" x14ac:dyDescent="0.3">
      <c r="A138" s="11"/>
      <c r="B138" s="93">
        <v>131</v>
      </c>
      <c r="C138" s="94">
        <v>46128</v>
      </c>
      <c r="D138" s="95" t="s">
        <v>342</v>
      </c>
      <c r="E138" s="95" t="s">
        <v>322</v>
      </c>
      <c r="F138" s="96" t="s">
        <v>201</v>
      </c>
      <c r="G138" s="96" t="s">
        <v>199</v>
      </c>
      <c r="H138" s="97">
        <v>6170</v>
      </c>
      <c r="I138" s="96" t="s">
        <v>498</v>
      </c>
      <c r="J138" s="97">
        <v>1234</v>
      </c>
      <c r="K138" s="92">
        <f>IF(INDEX(Cat_ChargesVAT,MATCH(tbl_Ledger[[#This Row],[Tax Category]],Cat_Codes,0))="No",0,tbl_Ledger[[#This Row],[Amount]]*VAT_Rate)</f>
        <v>925.5</v>
      </c>
      <c r="L138" s="92">
        <f>IF(INDEX(Cat_ChargesVAT,MATCH(tbl_Ledger[[#This Row],[Tax Category]],Cat_Codes,0))="No",0,tbl_Ledger[[#This Row],[Amount]]*NHIL_Rate)</f>
        <v>154.25</v>
      </c>
      <c r="M138" s="92">
        <f>IF(INDEX(Cat_ChargesVAT,MATCH(tbl_Ledger[[#This Row],[Tax Category]],Cat_Codes,0))="No",0,tbl_Ledger[[#This Row],[Amount]]*GETFund_Rate)</f>
        <v>154.25</v>
      </c>
      <c r="N138" s="92">
        <f>tbl_Ledger[[#This Row],[Expected VAT]]+tbl_Ledger[[#This Row],[Expected NHIL]]+tbl_Ledger[[#This Row],[Expected GETFund]]</f>
        <v>1234</v>
      </c>
      <c r="O138" s="92">
        <f>tbl_Ledger[[#This Row],[Amount]]+tbl_Ledger[[#This Row],[Tax Charged on Invoice]]</f>
        <v>7404</v>
      </c>
    </row>
    <row r="139" spans="1:15" x14ac:dyDescent="0.3">
      <c r="A139" s="11"/>
      <c r="B139" s="93">
        <v>132</v>
      </c>
      <c r="C139" s="94">
        <v>46129</v>
      </c>
      <c r="D139" s="95" t="s">
        <v>255</v>
      </c>
      <c r="E139" s="95" t="s">
        <v>322</v>
      </c>
      <c r="F139" s="96" t="s">
        <v>201</v>
      </c>
      <c r="G139" s="96" t="s">
        <v>199</v>
      </c>
      <c r="H139" s="97">
        <v>4423</v>
      </c>
      <c r="I139" s="96" t="s">
        <v>499</v>
      </c>
      <c r="J139" s="97">
        <v>884.6</v>
      </c>
      <c r="K139" s="92">
        <f>IF(INDEX(Cat_ChargesVAT,MATCH(tbl_Ledger[[#This Row],[Tax Category]],Cat_Codes,0))="No",0,tbl_Ledger[[#This Row],[Amount]]*VAT_Rate)</f>
        <v>663.44999999999993</v>
      </c>
      <c r="L139" s="92">
        <f>IF(INDEX(Cat_ChargesVAT,MATCH(tbl_Ledger[[#This Row],[Tax Category]],Cat_Codes,0))="No",0,tbl_Ledger[[#This Row],[Amount]]*NHIL_Rate)</f>
        <v>110.575</v>
      </c>
      <c r="M139" s="92">
        <f>IF(INDEX(Cat_ChargesVAT,MATCH(tbl_Ledger[[#This Row],[Tax Category]],Cat_Codes,0))="No",0,tbl_Ledger[[#This Row],[Amount]]*GETFund_Rate)</f>
        <v>110.575</v>
      </c>
      <c r="N139" s="92">
        <f>tbl_Ledger[[#This Row],[Expected VAT]]+tbl_Ledger[[#This Row],[Expected NHIL]]+tbl_Ledger[[#This Row],[Expected GETFund]]</f>
        <v>884.6</v>
      </c>
      <c r="O139" s="92">
        <f>tbl_Ledger[[#This Row],[Amount]]+tbl_Ledger[[#This Row],[Tax Charged on Invoice]]</f>
        <v>5307.6</v>
      </c>
    </row>
    <row r="140" spans="1:15" x14ac:dyDescent="0.3">
      <c r="A140" s="11"/>
      <c r="B140" s="93">
        <v>133</v>
      </c>
      <c r="C140" s="94">
        <v>46130</v>
      </c>
      <c r="D140" s="95" t="s">
        <v>500</v>
      </c>
      <c r="E140" s="95" t="s">
        <v>350</v>
      </c>
      <c r="F140" s="96" t="s">
        <v>182</v>
      </c>
      <c r="G140" s="96" t="s">
        <v>179</v>
      </c>
      <c r="H140" s="97">
        <v>59510</v>
      </c>
      <c r="I140" s="96" t="s">
        <v>501</v>
      </c>
      <c r="J140" s="97">
        <v>11902</v>
      </c>
      <c r="K140" s="92">
        <f>IF(INDEX(Cat_ChargesVAT,MATCH(tbl_Ledger[[#This Row],[Tax Category]],Cat_Codes,0))="No",0,tbl_Ledger[[#This Row],[Amount]]*VAT_Rate)</f>
        <v>8926.5</v>
      </c>
      <c r="L140" s="92">
        <f>IF(INDEX(Cat_ChargesVAT,MATCH(tbl_Ledger[[#This Row],[Tax Category]],Cat_Codes,0))="No",0,tbl_Ledger[[#This Row],[Amount]]*NHIL_Rate)</f>
        <v>1487.75</v>
      </c>
      <c r="M140" s="92">
        <f>IF(INDEX(Cat_ChargesVAT,MATCH(tbl_Ledger[[#This Row],[Tax Category]],Cat_Codes,0))="No",0,tbl_Ledger[[#This Row],[Amount]]*GETFund_Rate)</f>
        <v>1487.75</v>
      </c>
      <c r="N140" s="92">
        <f>tbl_Ledger[[#This Row],[Expected VAT]]+tbl_Ledger[[#This Row],[Expected NHIL]]+tbl_Ledger[[#This Row],[Expected GETFund]]</f>
        <v>11902</v>
      </c>
      <c r="O140" s="92">
        <f>tbl_Ledger[[#This Row],[Amount]]+tbl_Ledger[[#This Row],[Tax Charged on Invoice]]</f>
        <v>71412</v>
      </c>
    </row>
    <row r="141" spans="1:15" x14ac:dyDescent="0.3">
      <c r="A141" s="11"/>
      <c r="B141" s="93">
        <v>134</v>
      </c>
      <c r="C141" s="94">
        <v>46131</v>
      </c>
      <c r="D141" s="95" t="s">
        <v>386</v>
      </c>
      <c r="E141" s="95" t="s">
        <v>330</v>
      </c>
      <c r="F141" s="96" t="s">
        <v>201</v>
      </c>
      <c r="G141" s="96" t="s">
        <v>205</v>
      </c>
      <c r="H141" s="97">
        <v>20335</v>
      </c>
      <c r="I141" s="96" t="s">
        <v>502</v>
      </c>
      <c r="J141" s="97">
        <v>0</v>
      </c>
      <c r="K141" s="92">
        <f>IF(INDEX(Cat_ChargesVAT,MATCH(tbl_Ledger[[#This Row],[Tax Category]],Cat_Codes,0))="No",0,tbl_Ledger[[#This Row],[Amount]]*VAT_Rate)</f>
        <v>0</v>
      </c>
      <c r="L141" s="92">
        <f>IF(INDEX(Cat_ChargesVAT,MATCH(tbl_Ledger[[#This Row],[Tax Category]],Cat_Codes,0))="No",0,tbl_Ledger[[#This Row],[Amount]]*NHIL_Rate)</f>
        <v>0</v>
      </c>
      <c r="M141" s="92">
        <f>IF(INDEX(Cat_ChargesVAT,MATCH(tbl_Ledger[[#This Row],[Tax Category]],Cat_Codes,0))="No",0,tbl_Ledger[[#This Row],[Amount]]*GETFund_Rate)</f>
        <v>0</v>
      </c>
      <c r="N141" s="92">
        <f>tbl_Ledger[[#This Row],[Expected VAT]]+tbl_Ledger[[#This Row],[Expected NHIL]]+tbl_Ledger[[#This Row],[Expected GETFund]]</f>
        <v>0</v>
      </c>
      <c r="O141" s="92">
        <f>tbl_Ledger[[#This Row],[Amount]]+tbl_Ledger[[#This Row],[Tax Charged on Invoice]]</f>
        <v>20335</v>
      </c>
    </row>
    <row r="142" spans="1:15" x14ac:dyDescent="0.3">
      <c r="A142" s="11"/>
      <c r="B142" s="93">
        <v>135</v>
      </c>
      <c r="C142" s="94">
        <v>46131</v>
      </c>
      <c r="D142" s="95" t="s">
        <v>309</v>
      </c>
      <c r="E142" s="95" t="s">
        <v>412</v>
      </c>
      <c r="F142" s="96" t="s">
        <v>201</v>
      </c>
      <c r="G142" s="96" t="s">
        <v>199</v>
      </c>
      <c r="H142" s="97">
        <v>6945</v>
      </c>
      <c r="I142" s="96" t="s">
        <v>503</v>
      </c>
      <c r="J142" s="97">
        <v>1389</v>
      </c>
      <c r="K142" s="92">
        <f>IF(INDEX(Cat_ChargesVAT,MATCH(tbl_Ledger[[#This Row],[Tax Category]],Cat_Codes,0))="No",0,tbl_Ledger[[#This Row],[Amount]]*VAT_Rate)</f>
        <v>1041.75</v>
      </c>
      <c r="L142" s="92">
        <f>IF(INDEX(Cat_ChargesVAT,MATCH(tbl_Ledger[[#This Row],[Tax Category]],Cat_Codes,0))="No",0,tbl_Ledger[[#This Row],[Amount]]*NHIL_Rate)</f>
        <v>173.625</v>
      </c>
      <c r="M142" s="92">
        <f>IF(INDEX(Cat_ChargesVAT,MATCH(tbl_Ledger[[#This Row],[Tax Category]],Cat_Codes,0))="No",0,tbl_Ledger[[#This Row],[Amount]]*GETFund_Rate)</f>
        <v>173.625</v>
      </c>
      <c r="N142" s="92">
        <f>tbl_Ledger[[#This Row],[Expected VAT]]+tbl_Ledger[[#This Row],[Expected NHIL]]+tbl_Ledger[[#This Row],[Expected GETFund]]</f>
        <v>1389</v>
      </c>
      <c r="O142" s="92">
        <f>tbl_Ledger[[#This Row],[Amount]]+tbl_Ledger[[#This Row],[Tax Charged on Invoice]]</f>
        <v>8334</v>
      </c>
    </row>
    <row r="143" spans="1:15" x14ac:dyDescent="0.3">
      <c r="A143" s="11"/>
      <c r="B143" s="93">
        <v>136</v>
      </c>
      <c r="C143" s="94">
        <v>46132</v>
      </c>
      <c r="D143" s="95" t="s">
        <v>440</v>
      </c>
      <c r="E143" s="95" t="s">
        <v>382</v>
      </c>
      <c r="F143" s="96" t="s">
        <v>201</v>
      </c>
      <c r="G143" s="96" t="s">
        <v>219</v>
      </c>
      <c r="H143" s="97">
        <v>3655</v>
      </c>
      <c r="I143" s="96" t="s">
        <v>504</v>
      </c>
      <c r="J143" s="97">
        <v>731</v>
      </c>
      <c r="K143" s="92">
        <f>IF(INDEX(Cat_ChargesVAT,MATCH(tbl_Ledger[[#This Row],[Tax Category]],Cat_Codes,0))="No",0,tbl_Ledger[[#This Row],[Amount]]*VAT_Rate)</f>
        <v>548.25</v>
      </c>
      <c r="L143" s="92">
        <f>IF(INDEX(Cat_ChargesVAT,MATCH(tbl_Ledger[[#This Row],[Tax Category]],Cat_Codes,0))="No",0,tbl_Ledger[[#This Row],[Amount]]*NHIL_Rate)</f>
        <v>91.375</v>
      </c>
      <c r="M143" s="92">
        <f>IF(INDEX(Cat_ChargesVAT,MATCH(tbl_Ledger[[#This Row],[Tax Category]],Cat_Codes,0))="No",0,tbl_Ledger[[#This Row],[Amount]]*GETFund_Rate)</f>
        <v>91.375</v>
      </c>
      <c r="N143" s="92">
        <f>tbl_Ledger[[#This Row],[Expected VAT]]+tbl_Ledger[[#This Row],[Expected NHIL]]+tbl_Ledger[[#This Row],[Expected GETFund]]</f>
        <v>731</v>
      </c>
      <c r="O143" s="92">
        <f>tbl_Ledger[[#This Row],[Amount]]+tbl_Ledger[[#This Row],[Tax Charged on Invoice]]</f>
        <v>4386</v>
      </c>
    </row>
    <row r="144" spans="1:15" x14ac:dyDescent="0.3">
      <c r="A144" s="11"/>
      <c r="B144" s="93">
        <v>137</v>
      </c>
      <c r="C144" s="94">
        <v>46132</v>
      </c>
      <c r="D144" s="95" t="s">
        <v>505</v>
      </c>
      <c r="E144" s="95" t="s">
        <v>275</v>
      </c>
      <c r="F144" s="96" t="s">
        <v>201</v>
      </c>
      <c r="G144" s="96" t="s">
        <v>212</v>
      </c>
      <c r="H144" s="97">
        <v>29409</v>
      </c>
      <c r="I144" s="96" t="s">
        <v>506</v>
      </c>
      <c r="J144" s="97">
        <v>0</v>
      </c>
      <c r="K144" s="92">
        <f>IF(INDEX(Cat_ChargesVAT,MATCH(tbl_Ledger[[#This Row],[Tax Category]],Cat_Codes,0))="No",0,tbl_Ledger[[#This Row],[Amount]]*VAT_Rate)</f>
        <v>0</v>
      </c>
      <c r="L144" s="92">
        <f>IF(INDEX(Cat_ChargesVAT,MATCH(tbl_Ledger[[#This Row],[Tax Category]],Cat_Codes,0))="No",0,tbl_Ledger[[#This Row],[Amount]]*NHIL_Rate)</f>
        <v>0</v>
      </c>
      <c r="M144" s="92">
        <f>IF(INDEX(Cat_ChargesVAT,MATCH(tbl_Ledger[[#This Row],[Tax Category]],Cat_Codes,0))="No",0,tbl_Ledger[[#This Row],[Amount]]*GETFund_Rate)</f>
        <v>0</v>
      </c>
      <c r="N144" s="92">
        <f>tbl_Ledger[[#This Row],[Expected VAT]]+tbl_Ledger[[#This Row],[Expected NHIL]]+tbl_Ledger[[#This Row],[Expected GETFund]]</f>
        <v>0</v>
      </c>
      <c r="O144" s="92">
        <f>tbl_Ledger[[#This Row],[Amount]]+tbl_Ledger[[#This Row],[Tax Charged on Invoice]]</f>
        <v>29409</v>
      </c>
    </row>
    <row r="145" spans="1:15" x14ac:dyDescent="0.3">
      <c r="A145" s="11"/>
      <c r="B145" s="93">
        <v>138</v>
      </c>
      <c r="C145" s="94">
        <v>46133</v>
      </c>
      <c r="D145" s="95" t="s">
        <v>507</v>
      </c>
      <c r="E145" s="95" t="s">
        <v>278</v>
      </c>
      <c r="F145" s="96" t="s">
        <v>201</v>
      </c>
      <c r="G145" s="96" t="s">
        <v>212</v>
      </c>
      <c r="H145" s="97">
        <v>24153</v>
      </c>
      <c r="I145" s="96" t="s">
        <v>508</v>
      </c>
      <c r="J145" s="97">
        <v>0</v>
      </c>
      <c r="K145" s="92">
        <f>IF(INDEX(Cat_ChargesVAT,MATCH(tbl_Ledger[[#This Row],[Tax Category]],Cat_Codes,0))="No",0,tbl_Ledger[[#This Row],[Amount]]*VAT_Rate)</f>
        <v>0</v>
      </c>
      <c r="L145" s="92">
        <f>IF(INDEX(Cat_ChargesVAT,MATCH(tbl_Ledger[[#This Row],[Tax Category]],Cat_Codes,0))="No",0,tbl_Ledger[[#This Row],[Amount]]*NHIL_Rate)</f>
        <v>0</v>
      </c>
      <c r="M145" s="92">
        <f>IF(INDEX(Cat_ChargesVAT,MATCH(tbl_Ledger[[#This Row],[Tax Category]],Cat_Codes,0))="No",0,tbl_Ledger[[#This Row],[Amount]]*GETFund_Rate)</f>
        <v>0</v>
      </c>
      <c r="N145" s="92">
        <f>tbl_Ledger[[#This Row],[Expected VAT]]+tbl_Ledger[[#This Row],[Expected NHIL]]+tbl_Ledger[[#This Row],[Expected GETFund]]</f>
        <v>0</v>
      </c>
      <c r="O145" s="92">
        <f>tbl_Ledger[[#This Row],[Amount]]+tbl_Ledger[[#This Row],[Tax Charged on Invoice]]</f>
        <v>24153</v>
      </c>
    </row>
    <row r="146" spans="1:15" x14ac:dyDescent="0.3">
      <c r="A146" s="11"/>
      <c r="B146" s="93">
        <v>139</v>
      </c>
      <c r="C146" s="94">
        <v>46133</v>
      </c>
      <c r="D146" s="95" t="s">
        <v>509</v>
      </c>
      <c r="E146" s="95" t="s">
        <v>283</v>
      </c>
      <c r="F146" s="96" t="s">
        <v>182</v>
      </c>
      <c r="G146" s="96" t="s">
        <v>179</v>
      </c>
      <c r="H146" s="97">
        <v>67565</v>
      </c>
      <c r="I146" s="96" t="s">
        <v>510</v>
      </c>
      <c r="J146" s="97">
        <v>13513</v>
      </c>
      <c r="K146" s="92">
        <f>IF(INDEX(Cat_ChargesVAT,MATCH(tbl_Ledger[[#This Row],[Tax Category]],Cat_Codes,0))="No",0,tbl_Ledger[[#This Row],[Amount]]*VAT_Rate)</f>
        <v>10134.75</v>
      </c>
      <c r="L146" s="92">
        <f>IF(INDEX(Cat_ChargesVAT,MATCH(tbl_Ledger[[#This Row],[Tax Category]],Cat_Codes,0))="No",0,tbl_Ledger[[#This Row],[Amount]]*NHIL_Rate)</f>
        <v>1689.125</v>
      </c>
      <c r="M146" s="92">
        <f>IF(INDEX(Cat_ChargesVAT,MATCH(tbl_Ledger[[#This Row],[Tax Category]],Cat_Codes,0))="No",0,tbl_Ledger[[#This Row],[Amount]]*GETFund_Rate)</f>
        <v>1689.125</v>
      </c>
      <c r="N146" s="92">
        <f>tbl_Ledger[[#This Row],[Expected VAT]]+tbl_Ledger[[#This Row],[Expected NHIL]]+tbl_Ledger[[#This Row],[Expected GETFund]]</f>
        <v>13513</v>
      </c>
      <c r="O146" s="92">
        <f>tbl_Ledger[[#This Row],[Amount]]+tbl_Ledger[[#This Row],[Tax Charged on Invoice]]</f>
        <v>81078</v>
      </c>
    </row>
    <row r="147" spans="1:15" x14ac:dyDescent="0.3">
      <c r="A147" s="11"/>
      <c r="B147" s="93">
        <v>140</v>
      </c>
      <c r="C147" s="94">
        <v>46135</v>
      </c>
      <c r="D147" s="95" t="s">
        <v>329</v>
      </c>
      <c r="E147" s="95" t="s">
        <v>330</v>
      </c>
      <c r="F147" s="96" t="s">
        <v>201</v>
      </c>
      <c r="G147" s="96" t="s">
        <v>205</v>
      </c>
      <c r="H147" s="97">
        <v>27774</v>
      </c>
      <c r="I147" s="96" t="s">
        <v>511</v>
      </c>
      <c r="J147" s="97">
        <v>0</v>
      </c>
      <c r="K147" s="92">
        <f>IF(INDEX(Cat_ChargesVAT,MATCH(tbl_Ledger[[#This Row],[Tax Category]],Cat_Codes,0))="No",0,tbl_Ledger[[#This Row],[Amount]]*VAT_Rate)</f>
        <v>0</v>
      </c>
      <c r="L147" s="92">
        <f>IF(INDEX(Cat_ChargesVAT,MATCH(tbl_Ledger[[#This Row],[Tax Category]],Cat_Codes,0))="No",0,tbl_Ledger[[#This Row],[Amount]]*NHIL_Rate)</f>
        <v>0</v>
      </c>
      <c r="M147" s="92">
        <f>IF(INDEX(Cat_ChargesVAT,MATCH(tbl_Ledger[[#This Row],[Tax Category]],Cat_Codes,0))="No",0,tbl_Ledger[[#This Row],[Amount]]*GETFund_Rate)</f>
        <v>0</v>
      </c>
      <c r="N147" s="92">
        <f>tbl_Ledger[[#This Row],[Expected VAT]]+tbl_Ledger[[#This Row],[Expected NHIL]]+tbl_Ledger[[#This Row],[Expected GETFund]]</f>
        <v>0</v>
      </c>
      <c r="O147" s="92">
        <f>tbl_Ledger[[#This Row],[Amount]]+tbl_Ledger[[#This Row],[Tax Charged on Invoice]]</f>
        <v>27774</v>
      </c>
    </row>
    <row r="148" spans="1:15" x14ac:dyDescent="0.3">
      <c r="A148" s="11"/>
      <c r="B148" s="93">
        <v>141</v>
      </c>
      <c r="C148" s="94">
        <v>46135</v>
      </c>
      <c r="D148" s="95" t="s">
        <v>255</v>
      </c>
      <c r="E148" s="95" t="s">
        <v>322</v>
      </c>
      <c r="F148" s="96" t="s">
        <v>201</v>
      </c>
      <c r="G148" s="96" t="s">
        <v>199</v>
      </c>
      <c r="H148" s="97">
        <v>1074</v>
      </c>
      <c r="I148" s="96" t="s">
        <v>512</v>
      </c>
      <c r="J148" s="97">
        <v>214.8</v>
      </c>
      <c r="K148" s="92">
        <f>IF(INDEX(Cat_ChargesVAT,MATCH(tbl_Ledger[[#This Row],[Tax Category]],Cat_Codes,0))="No",0,tbl_Ledger[[#This Row],[Amount]]*VAT_Rate)</f>
        <v>161.1</v>
      </c>
      <c r="L148" s="92">
        <f>IF(INDEX(Cat_ChargesVAT,MATCH(tbl_Ledger[[#This Row],[Tax Category]],Cat_Codes,0))="No",0,tbl_Ledger[[#This Row],[Amount]]*NHIL_Rate)</f>
        <v>26.85</v>
      </c>
      <c r="M148" s="92">
        <f>IF(INDEX(Cat_ChargesVAT,MATCH(tbl_Ledger[[#This Row],[Tax Category]],Cat_Codes,0))="No",0,tbl_Ledger[[#This Row],[Amount]]*GETFund_Rate)</f>
        <v>26.85</v>
      </c>
      <c r="N148" s="92">
        <f>tbl_Ledger[[#This Row],[Expected VAT]]+tbl_Ledger[[#This Row],[Expected NHIL]]+tbl_Ledger[[#This Row],[Expected GETFund]]</f>
        <v>214.79999999999998</v>
      </c>
      <c r="O148" s="92">
        <f>tbl_Ledger[[#This Row],[Amount]]+tbl_Ledger[[#This Row],[Tax Charged on Invoice]]</f>
        <v>1288.8</v>
      </c>
    </row>
    <row r="149" spans="1:15" x14ac:dyDescent="0.3">
      <c r="A149" s="11"/>
      <c r="B149" s="93">
        <v>142</v>
      </c>
      <c r="C149" s="94">
        <v>46135</v>
      </c>
      <c r="D149" s="95" t="s">
        <v>255</v>
      </c>
      <c r="E149" s="95" t="s">
        <v>412</v>
      </c>
      <c r="F149" s="96" t="s">
        <v>201</v>
      </c>
      <c r="G149" s="96" t="s">
        <v>199</v>
      </c>
      <c r="H149" s="97">
        <v>2428</v>
      </c>
      <c r="I149" s="96" t="s">
        <v>513</v>
      </c>
      <c r="J149" s="97">
        <v>845.6</v>
      </c>
      <c r="K149" s="92">
        <f>IF(INDEX(Cat_ChargesVAT,MATCH(tbl_Ledger[[#This Row],[Tax Category]],Cat_Codes,0))="No",0,tbl_Ledger[[#This Row],[Amount]]*VAT_Rate)</f>
        <v>364.2</v>
      </c>
      <c r="L149" s="92">
        <f>IF(INDEX(Cat_ChargesVAT,MATCH(tbl_Ledger[[#This Row],[Tax Category]],Cat_Codes,0))="No",0,tbl_Ledger[[#This Row],[Amount]]*NHIL_Rate)</f>
        <v>60.7</v>
      </c>
      <c r="M149" s="92">
        <f>IF(INDEX(Cat_ChargesVAT,MATCH(tbl_Ledger[[#This Row],[Tax Category]],Cat_Codes,0))="No",0,tbl_Ledger[[#This Row],[Amount]]*GETFund_Rate)</f>
        <v>60.7</v>
      </c>
      <c r="N149" s="92">
        <f>tbl_Ledger[[#This Row],[Expected VAT]]+tbl_Ledger[[#This Row],[Expected NHIL]]+tbl_Ledger[[#This Row],[Expected GETFund]]</f>
        <v>485.59999999999997</v>
      </c>
      <c r="O149" s="92">
        <f>tbl_Ledger[[#This Row],[Amount]]+tbl_Ledger[[#This Row],[Tax Charged on Invoice]]</f>
        <v>3273.6</v>
      </c>
    </row>
    <row r="150" spans="1:15" x14ac:dyDescent="0.3">
      <c r="A150" s="11"/>
      <c r="B150" s="93">
        <v>143</v>
      </c>
      <c r="C150" s="94">
        <v>46135</v>
      </c>
      <c r="D150" s="95" t="s">
        <v>290</v>
      </c>
      <c r="E150" s="95" t="s">
        <v>412</v>
      </c>
      <c r="F150" s="96" t="s">
        <v>201</v>
      </c>
      <c r="G150" s="96" t="s">
        <v>199</v>
      </c>
      <c r="H150" s="97">
        <v>6106</v>
      </c>
      <c r="I150" s="96" t="s">
        <v>514</v>
      </c>
      <c r="J150" s="97">
        <v>1221.2</v>
      </c>
      <c r="K150" s="92">
        <f>IF(INDEX(Cat_ChargesVAT,MATCH(tbl_Ledger[[#This Row],[Tax Category]],Cat_Codes,0))="No",0,tbl_Ledger[[#This Row],[Amount]]*VAT_Rate)</f>
        <v>915.9</v>
      </c>
      <c r="L150" s="92">
        <f>IF(INDEX(Cat_ChargesVAT,MATCH(tbl_Ledger[[#This Row],[Tax Category]],Cat_Codes,0))="No",0,tbl_Ledger[[#This Row],[Amount]]*NHIL_Rate)</f>
        <v>152.65</v>
      </c>
      <c r="M150" s="92">
        <f>IF(INDEX(Cat_ChargesVAT,MATCH(tbl_Ledger[[#This Row],[Tax Category]],Cat_Codes,0))="No",0,tbl_Ledger[[#This Row],[Amount]]*GETFund_Rate)</f>
        <v>152.65</v>
      </c>
      <c r="N150" s="92">
        <f>tbl_Ledger[[#This Row],[Expected VAT]]+tbl_Ledger[[#This Row],[Expected NHIL]]+tbl_Ledger[[#This Row],[Expected GETFund]]</f>
        <v>1221.2</v>
      </c>
      <c r="O150" s="92">
        <f>tbl_Ledger[[#This Row],[Amount]]+tbl_Ledger[[#This Row],[Tax Charged on Invoice]]</f>
        <v>7327.2</v>
      </c>
    </row>
    <row r="151" spans="1:15" x14ac:dyDescent="0.3">
      <c r="A151" s="11"/>
      <c r="B151" s="93">
        <v>144</v>
      </c>
      <c r="C151" s="94">
        <v>46136</v>
      </c>
      <c r="D151" s="95" t="s">
        <v>338</v>
      </c>
      <c r="E151" s="95" t="s">
        <v>318</v>
      </c>
      <c r="F151" s="96" t="s">
        <v>201</v>
      </c>
      <c r="G151" s="96" t="s">
        <v>205</v>
      </c>
      <c r="H151" s="97">
        <v>528</v>
      </c>
      <c r="I151" s="96" t="s">
        <v>515</v>
      </c>
      <c r="J151" s="97">
        <v>0</v>
      </c>
      <c r="K151" s="92">
        <f>IF(INDEX(Cat_ChargesVAT,MATCH(tbl_Ledger[[#This Row],[Tax Category]],Cat_Codes,0))="No",0,tbl_Ledger[[#This Row],[Amount]]*VAT_Rate)</f>
        <v>0</v>
      </c>
      <c r="L151" s="92">
        <f>IF(INDEX(Cat_ChargesVAT,MATCH(tbl_Ledger[[#This Row],[Tax Category]],Cat_Codes,0))="No",0,tbl_Ledger[[#This Row],[Amount]]*NHIL_Rate)</f>
        <v>0</v>
      </c>
      <c r="M151" s="92">
        <f>IF(INDEX(Cat_ChargesVAT,MATCH(tbl_Ledger[[#This Row],[Tax Category]],Cat_Codes,0))="No",0,tbl_Ledger[[#This Row],[Amount]]*GETFund_Rate)</f>
        <v>0</v>
      </c>
      <c r="N151" s="92">
        <f>tbl_Ledger[[#This Row],[Expected VAT]]+tbl_Ledger[[#This Row],[Expected NHIL]]+tbl_Ledger[[#This Row],[Expected GETFund]]</f>
        <v>0</v>
      </c>
      <c r="O151" s="92">
        <f>tbl_Ledger[[#This Row],[Amount]]+tbl_Ledger[[#This Row],[Tax Charged on Invoice]]</f>
        <v>528</v>
      </c>
    </row>
    <row r="152" spans="1:15" x14ac:dyDescent="0.3">
      <c r="A152" s="11"/>
      <c r="B152" s="93">
        <v>145</v>
      </c>
      <c r="C152" s="94">
        <v>46136</v>
      </c>
      <c r="D152" s="95" t="s">
        <v>349</v>
      </c>
      <c r="E152" s="95" t="s">
        <v>516</v>
      </c>
      <c r="F152" s="96" t="s">
        <v>182</v>
      </c>
      <c r="G152" s="96" t="s">
        <v>179</v>
      </c>
      <c r="H152" s="97">
        <v>52030</v>
      </c>
      <c r="I152" s="96" t="s">
        <v>517</v>
      </c>
      <c r="J152" s="97">
        <v>10406</v>
      </c>
      <c r="K152" s="92">
        <f>IF(INDEX(Cat_ChargesVAT,MATCH(tbl_Ledger[[#This Row],[Tax Category]],Cat_Codes,0))="No",0,tbl_Ledger[[#This Row],[Amount]]*VAT_Rate)</f>
        <v>7804.5</v>
      </c>
      <c r="L152" s="92">
        <f>IF(INDEX(Cat_ChargesVAT,MATCH(tbl_Ledger[[#This Row],[Tax Category]],Cat_Codes,0))="No",0,tbl_Ledger[[#This Row],[Amount]]*NHIL_Rate)</f>
        <v>1300.75</v>
      </c>
      <c r="M152" s="92">
        <f>IF(INDEX(Cat_ChargesVAT,MATCH(tbl_Ledger[[#This Row],[Tax Category]],Cat_Codes,0))="No",0,tbl_Ledger[[#This Row],[Amount]]*GETFund_Rate)</f>
        <v>1300.75</v>
      </c>
      <c r="N152" s="92">
        <f>tbl_Ledger[[#This Row],[Expected VAT]]+tbl_Ledger[[#This Row],[Expected NHIL]]+tbl_Ledger[[#This Row],[Expected GETFund]]</f>
        <v>10406</v>
      </c>
      <c r="O152" s="92">
        <f>tbl_Ledger[[#This Row],[Amount]]+tbl_Ledger[[#This Row],[Tax Charged on Invoice]]</f>
        <v>62436</v>
      </c>
    </row>
    <row r="153" spans="1:15" x14ac:dyDescent="0.3">
      <c r="A153" s="11"/>
      <c r="B153" s="93">
        <v>146</v>
      </c>
      <c r="C153" s="94">
        <v>46137</v>
      </c>
      <c r="D153" s="95" t="s">
        <v>290</v>
      </c>
      <c r="E153" s="95" t="s">
        <v>496</v>
      </c>
      <c r="F153" s="96" t="s">
        <v>201</v>
      </c>
      <c r="G153" s="96" t="s">
        <v>199</v>
      </c>
      <c r="H153" s="97">
        <v>2470</v>
      </c>
      <c r="I153" s="96" t="s">
        <v>518</v>
      </c>
      <c r="J153" s="97">
        <v>494</v>
      </c>
      <c r="K153" s="92">
        <f>IF(INDEX(Cat_ChargesVAT,MATCH(tbl_Ledger[[#This Row],[Tax Category]],Cat_Codes,0))="No",0,tbl_Ledger[[#This Row],[Amount]]*VAT_Rate)</f>
        <v>370.5</v>
      </c>
      <c r="L153" s="92">
        <f>IF(INDEX(Cat_ChargesVAT,MATCH(tbl_Ledger[[#This Row],[Tax Category]],Cat_Codes,0))="No",0,tbl_Ledger[[#This Row],[Amount]]*NHIL_Rate)</f>
        <v>61.75</v>
      </c>
      <c r="M153" s="92">
        <f>IF(INDEX(Cat_ChargesVAT,MATCH(tbl_Ledger[[#This Row],[Tax Category]],Cat_Codes,0))="No",0,tbl_Ledger[[#This Row],[Amount]]*GETFund_Rate)</f>
        <v>61.75</v>
      </c>
      <c r="N153" s="92">
        <f>tbl_Ledger[[#This Row],[Expected VAT]]+tbl_Ledger[[#This Row],[Expected NHIL]]+tbl_Ledger[[#This Row],[Expected GETFund]]</f>
        <v>494</v>
      </c>
      <c r="O153" s="92">
        <f>tbl_Ledger[[#This Row],[Amount]]+tbl_Ledger[[#This Row],[Tax Charged on Invoice]]</f>
        <v>2964</v>
      </c>
    </row>
    <row r="154" spans="1:15" x14ac:dyDescent="0.3">
      <c r="A154" s="11"/>
      <c r="B154" s="93">
        <v>147</v>
      </c>
      <c r="C154" s="94">
        <v>46137</v>
      </c>
      <c r="D154" s="95" t="s">
        <v>519</v>
      </c>
      <c r="E154" s="95" t="s">
        <v>250</v>
      </c>
      <c r="F154" s="96" t="s">
        <v>182</v>
      </c>
      <c r="G154" s="96" t="s">
        <v>179</v>
      </c>
      <c r="H154" s="97">
        <v>24335</v>
      </c>
      <c r="I154" s="96" t="s">
        <v>520</v>
      </c>
      <c r="J154" s="97">
        <v>4867</v>
      </c>
      <c r="K154" s="92">
        <f>IF(INDEX(Cat_ChargesVAT,MATCH(tbl_Ledger[[#This Row],[Tax Category]],Cat_Codes,0))="No",0,tbl_Ledger[[#This Row],[Amount]]*VAT_Rate)</f>
        <v>3650.25</v>
      </c>
      <c r="L154" s="92">
        <f>IF(INDEX(Cat_ChargesVAT,MATCH(tbl_Ledger[[#This Row],[Tax Category]],Cat_Codes,0))="No",0,tbl_Ledger[[#This Row],[Amount]]*NHIL_Rate)</f>
        <v>608.375</v>
      </c>
      <c r="M154" s="92">
        <f>IF(INDEX(Cat_ChargesVAT,MATCH(tbl_Ledger[[#This Row],[Tax Category]],Cat_Codes,0))="No",0,tbl_Ledger[[#This Row],[Amount]]*GETFund_Rate)</f>
        <v>608.375</v>
      </c>
      <c r="N154" s="92">
        <f>tbl_Ledger[[#This Row],[Expected VAT]]+tbl_Ledger[[#This Row],[Expected NHIL]]+tbl_Ledger[[#This Row],[Expected GETFund]]</f>
        <v>4867</v>
      </c>
      <c r="O154" s="92">
        <f>tbl_Ledger[[#This Row],[Amount]]+tbl_Ledger[[#This Row],[Tax Charged on Invoice]]</f>
        <v>29202</v>
      </c>
    </row>
    <row r="155" spans="1:15" x14ac:dyDescent="0.3">
      <c r="A155" s="11"/>
      <c r="B155" s="93">
        <v>148</v>
      </c>
      <c r="C155" s="94">
        <v>46137</v>
      </c>
      <c r="D155" s="95" t="s">
        <v>521</v>
      </c>
      <c r="E155" s="95" t="s">
        <v>250</v>
      </c>
      <c r="F155" s="96" t="s">
        <v>182</v>
      </c>
      <c r="G155" s="96" t="s">
        <v>179</v>
      </c>
      <c r="H155" s="97">
        <v>60385</v>
      </c>
      <c r="I155" s="96" t="s">
        <v>522</v>
      </c>
      <c r="J155" s="97">
        <v>12077</v>
      </c>
      <c r="K155" s="92">
        <f>IF(INDEX(Cat_ChargesVAT,MATCH(tbl_Ledger[[#This Row],[Tax Category]],Cat_Codes,0))="No",0,tbl_Ledger[[#This Row],[Amount]]*VAT_Rate)</f>
        <v>9057.75</v>
      </c>
      <c r="L155" s="92">
        <f>IF(INDEX(Cat_ChargesVAT,MATCH(tbl_Ledger[[#This Row],[Tax Category]],Cat_Codes,0))="No",0,tbl_Ledger[[#This Row],[Amount]]*NHIL_Rate)</f>
        <v>1509.625</v>
      </c>
      <c r="M155" s="92">
        <f>IF(INDEX(Cat_ChargesVAT,MATCH(tbl_Ledger[[#This Row],[Tax Category]],Cat_Codes,0))="No",0,tbl_Ledger[[#This Row],[Amount]]*GETFund_Rate)</f>
        <v>1509.625</v>
      </c>
      <c r="N155" s="92">
        <f>tbl_Ledger[[#This Row],[Expected VAT]]+tbl_Ledger[[#This Row],[Expected NHIL]]+tbl_Ledger[[#This Row],[Expected GETFund]]</f>
        <v>12077</v>
      </c>
      <c r="O155" s="92">
        <f>tbl_Ledger[[#This Row],[Amount]]+tbl_Ledger[[#This Row],[Tax Charged on Invoice]]</f>
        <v>72462</v>
      </c>
    </row>
    <row r="156" spans="1:15" x14ac:dyDescent="0.3">
      <c r="A156" s="11"/>
      <c r="B156" s="93">
        <v>149</v>
      </c>
      <c r="C156" s="94">
        <v>46138</v>
      </c>
      <c r="D156" s="95" t="s">
        <v>472</v>
      </c>
      <c r="E156" s="95" t="s">
        <v>322</v>
      </c>
      <c r="F156" s="96" t="s">
        <v>201</v>
      </c>
      <c r="G156" s="96" t="s">
        <v>199</v>
      </c>
      <c r="H156" s="97">
        <v>1252</v>
      </c>
      <c r="I156" s="96" t="s">
        <v>523</v>
      </c>
      <c r="J156" s="97">
        <v>250.4</v>
      </c>
      <c r="K156" s="92">
        <f>IF(INDEX(Cat_ChargesVAT,MATCH(tbl_Ledger[[#This Row],[Tax Category]],Cat_Codes,0))="No",0,tbl_Ledger[[#This Row],[Amount]]*VAT_Rate)</f>
        <v>187.79999999999998</v>
      </c>
      <c r="L156" s="92">
        <f>IF(INDEX(Cat_ChargesVAT,MATCH(tbl_Ledger[[#This Row],[Tax Category]],Cat_Codes,0))="No",0,tbl_Ledger[[#This Row],[Amount]]*NHIL_Rate)</f>
        <v>31.3</v>
      </c>
      <c r="M156" s="92">
        <f>IF(INDEX(Cat_ChargesVAT,MATCH(tbl_Ledger[[#This Row],[Tax Category]],Cat_Codes,0))="No",0,tbl_Ledger[[#This Row],[Amount]]*GETFund_Rate)</f>
        <v>31.3</v>
      </c>
      <c r="N156" s="92">
        <f>tbl_Ledger[[#This Row],[Expected VAT]]+tbl_Ledger[[#This Row],[Expected NHIL]]+tbl_Ledger[[#This Row],[Expected GETFund]]</f>
        <v>250.4</v>
      </c>
      <c r="O156" s="92">
        <f>tbl_Ledger[[#This Row],[Amount]]+tbl_Ledger[[#This Row],[Tax Charged on Invoice]]</f>
        <v>1502.4</v>
      </c>
    </row>
    <row r="157" spans="1:15" x14ac:dyDescent="0.3">
      <c r="A157" s="11"/>
      <c r="B157" s="93">
        <v>150</v>
      </c>
      <c r="C157" s="94">
        <v>46138</v>
      </c>
      <c r="D157" s="95" t="s">
        <v>472</v>
      </c>
      <c r="E157" s="95" t="s">
        <v>322</v>
      </c>
      <c r="F157" s="96" t="s">
        <v>201</v>
      </c>
      <c r="G157" s="96" t="s">
        <v>199</v>
      </c>
      <c r="H157" s="97">
        <v>1232</v>
      </c>
      <c r="I157" s="96" t="s">
        <v>524</v>
      </c>
      <c r="J157" s="97">
        <v>246.4</v>
      </c>
      <c r="K157" s="92">
        <f>IF(INDEX(Cat_ChargesVAT,MATCH(tbl_Ledger[[#This Row],[Tax Category]],Cat_Codes,0))="No",0,tbl_Ledger[[#This Row],[Amount]]*VAT_Rate)</f>
        <v>184.79999999999998</v>
      </c>
      <c r="L157" s="92">
        <f>IF(INDEX(Cat_ChargesVAT,MATCH(tbl_Ledger[[#This Row],[Tax Category]],Cat_Codes,0))="No",0,tbl_Ledger[[#This Row],[Amount]]*NHIL_Rate)</f>
        <v>30.8</v>
      </c>
      <c r="M157" s="92">
        <f>IF(INDEX(Cat_ChargesVAT,MATCH(tbl_Ledger[[#This Row],[Tax Category]],Cat_Codes,0))="No",0,tbl_Ledger[[#This Row],[Amount]]*GETFund_Rate)</f>
        <v>30.8</v>
      </c>
      <c r="N157" s="92">
        <f>tbl_Ledger[[#This Row],[Expected VAT]]+tbl_Ledger[[#This Row],[Expected NHIL]]+tbl_Ledger[[#This Row],[Expected GETFund]]</f>
        <v>246.4</v>
      </c>
      <c r="O157" s="92">
        <f>tbl_Ledger[[#This Row],[Amount]]+tbl_Ledger[[#This Row],[Tax Charged on Invoice]]</f>
        <v>1478.4</v>
      </c>
    </row>
    <row r="158" spans="1:15" x14ac:dyDescent="0.3">
      <c r="A158" s="11"/>
      <c r="B158" s="93">
        <v>151</v>
      </c>
      <c r="C158" s="94">
        <v>46139</v>
      </c>
      <c r="D158" s="95" t="s">
        <v>317</v>
      </c>
      <c r="E158" s="95" t="s">
        <v>318</v>
      </c>
      <c r="F158" s="96" t="s">
        <v>201</v>
      </c>
      <c r="G158" s="96" t="s">
        <v>205</v>
      </c>
      <c r="H158" s="97">
        <v>2129</v>
      </c>
      <c r="I158" s="96" t="s">
        <v>525</v>
      </c>
      <c r="J158" s="97">
        <v>0</v>
      </c>
      <c r="K158" s="92">
        <f>IF(INDEX(Cat_ChargesVAT,MATCH(tbl_Ledger[[#This Row],[Tax Category]],Cat_Codes,0))="No",0,tbl_Ledger[[#This Row],[Amount]]*VAT_Rate)</f>
        <v>0</v>
      </c>
      <c r="L158" s="92">
        <f>IF(INDEX(Cat_ChargesVAT,MATCH(tbl_Ledger[[#This Row],[Tax Category]],Cat_Codes,0))="No",0,tbl_Ledger[[#This Row],[Amount]]*NHIL_Rate)</f>
        <v>0</v>
      </c>
      <c r="M158" s="92">
        <f>IF(INDEX(Cat_ChargesVAT,MATCH(tbl_Ledger[[#This Row],[Tax Category]],Cat_Codes,0))="No",0,tbl_Ledger[[#This Row],[Amount]]*GETFund_Rate)</f>
        <v>0</v>
      </c>
      <c r="N158" s="92">
        <f>tbl_Ledger[[#This Row],[Expected VAT]]+tbl_Ledger[[#This Row],[Expected NHIL]]+tbl_Ledger[[#This Row],[Expected GETFund]]</f>
        <v>0</v>
      </c>
      <c r="O158" s="92">
        <f>tbl_Ledger[[#This Row],[Amount]]+tbl_Ledger[[#This Row],[Tax Charged on Invoice]]</f>
        <v>2129</v>
      </c>
    </row>
    <row r="159" spans="1:15" x14ac:dyDescent="0.3">
      <c r="A159" s="11"/>
      <c r="B159" s="93">
        <v>152</v>
      </c>
      <c r="C159" s="94">
        <v>46139</v>
      </c>
      <c r="D159" s="95" t="s">
        <v>309</v>
      </c>
      <c r="E159" s="95" t="s">
        <v>256</v>
      </c>
      <c r="F159" s="96" t="s">
        <v>201</v>
      </c>
      <c r="G159" s="96" t="s">
        <v>199</v>
      </c>
      <c r="H159" s="97">
        <v>5158</v>
      </c>
      <c r="I159" s="96" t="s">
        <v>526</v>
      </c>
      <c r="J159" s="97">
        <v>1031.5999999999999</v>
      </c>
      <c r="K159" s="92">
        <f>IF(INDEX(Cat_ChargesVAT,MATCH(tbl_Ledger[[#This Row],[Tax Category]],Cat_Codes,0))="No",0,tbl_Ledger[[#This Row],[Amount]]*VAT_Rate)</f>
        <v>773.69999999999993</v>
      </c>
      <c r="L159" s="92">
        <f>IF(INDEX(Cat_ChargesVAT,MATCH(tbl_Ledger[[#This Row],[Tax Category]],Cat_Codes,0))="No",0,tbl_Ledger[[#This Row],[Amount]]*NHIL_Rate)</f>
        <v>128.95000000000002</v>
      </c>
      <c r="M159" s="92">
        <f>IF(INDEX(Cat_ChargesVAT,MATCH(tbl_Ledger[[#This Row],[Tax Category]],Cat_Codes,0))="No",0,tbl_Ledger[[#This Row],[Amount]]*GETFund_Rate)</f>
        <v>128.95000000000002</v>
      </c>
      <c r="N159" s="92">
        <f>tbl_Ledger[[#This Row],[Expected VAT]]+tbl_Ledger[[#This Row],[Expected NHIL]]+tbl_Ledger[[#This Row],[Expected GETFund]]</f>
        <v>1031.5999999999999</v>
      </c>
      <c r="O159" s="92">
        <f>tbl_Ledger[[#This Row],[Amount]]+tbl_Ledger[[#This Row],[Tax Charged on Invoice]]</f>
        <v>6189.6</v>
      </c>
    </row>
    <row r="160" spans="1:15" x14ac:dyDescent="0.3">
      <c r="A160" s="11"/>
      <c r="B160" s="93">
        <v>153</v>
      </c>
      <c r="C160" s="94">
        <v>46139</v>
      </c>
      <c r="D160" s="95" t="s">
        <v>527</v>
      </c>
      <c r="E160" s="95" t="s">
        <v>294</v>
      </c>
      <c r="F160" s="96" t="s">
        <v>182</v>
      </c>
      <c r="G160" s="96" t="s">
        <v>179</v>
      </c>
      <c r="H160" s="97">
        <v>63571</v>
      </c>
      <c r="I160" s="96" t="s">
        <v>528</v>
      </c>
      <c r="J160" s="97">
        <v>12714.2</v>
      </c>
      <c r="K160" s="92">
        <f>IF(INDEX(Cat_ChargesVAT,MATCH(tbl_Ledger[[#This Row],[Tax Category]],Cat_Codes,0))="No",0,tbl_Ledger[[#This Row],[Amount]]*VAT_Rate)</f>
        <v>9535.65</v>
      </c>
      <c r="L160" s="92">
        <f>IF(INDEX(Cat_ChargesVAT,MATCH(tbl_Ledger[[#This Row],[Tax Category]],Cat_Codes,0))="No",0,tbl_Ledger[[#This Row],[Amount]]*NHIL_Rate)</f>
        <v>1589.2750000000001</v>
      </c>
      <c r="M160" s="92">
        <f>IF(INDEX(Cat_ChargesVAT,MATCH(tbl_Ledger[[#This Row],[Tax Category]],Cat_Codes,0))="No",0,tbl_Ledger[[#This Row],[Amount]]*GETFund_Rate)</f>
        <v>1589.2750000000001</v>
      </c>
      <c r="N160" s="92">
        <f>tbl_Ledger[[#This Row],[Expected VAT]]+tbl_Ledger[[#This Row],[Expected NHIL]]+tbl_Ledger[[#This Row],[Expected GETFund]]</f>
        <v>12714.199999999999</v>
      </c>
      <c r="O160" s="92">
        <f>tbl_Ledger[[#This Row],[Amount]]+tbl_Ledger[[#This Row],[Tax Charged on Invoice]]</f>
        <v>76285.2</v>
      </c>
    </row>
    <row r="161" spans="1:15" x14ac:dyDescent="0.3">
      <c r="A161" s="11"/>
      <c r="B161" s="93">
        <v>154</v>
      </c>
      <c r="C161" s="94">
        <v>46140</v>
      </c>
      <c r="D161" s="95" t="s">
        <v>529</v>
      </c>
      <c r="E161" s="95" t="s">
        <v>389</v>
      </c>
      <c r="F161" s="96" t="s">
        <v>182</v>
      </c>
      <c r="G161" s="96" t="s">
        <v>179</v>
      </c>
      <c r="H161" s="97">
        <v>84344</v>
      </c>
      <c r="I161" s="96" t="s">
        <v>530</v>
      </c>
      <c r="J161" s="97">
        <v>16868.8</v>
      </c>
      <c r="K161" s="92">
        <f>IF(INDEX(Cat_ChargesVAT,MATCH(tbl_Ledger[[#This Row],[Tax Category]],Cat_Codes,0))="No",0,tbl_Ledger[[#This Row],[Amount]]*VAT_Rate)</f>
        <v>12651.6</v>
      </c>
      <c r="L161" s="92">
        <f>IF(INDEX(Cat_ChargesVAT,MATCH(tbl_Ledger[[#This Row],[Tax Category]],Cat_Codes,0))="No",0,tbl_Ledger[[#This Row],[Amount]]*NHIL_Rate)</f>
        <v>2108.6</v>
      </c>
      <c r="M161" s="92">
        <f>IF(INDEX(Cat_ChargesVAT,MATCH(tbl_Ledger[[#This Row],[Tax Category]],Cat_Codes,0))="No",0,tbl_Ledger[[#This Row],[Amount]]*GETFund_Rate)</f>
        <v>2108.6</v>
      </c>
      <c r="N161" s="92">
        <f>tbl_Ledger[[#This Row],[Expected VAT]]+tbl_Ledger[[#This Row],[Expected NHIL]]+tbl_Ledger[[#This Row],[Expected GETFund]]</f>
        <v>16868.8</v>
      </c>
      <c r="O161" s="92">
        <f>tbl_Ledger[[#This Row],[Amount]]+tbl_Ledger[[#This Row],[Tax Charged on Invoice]]</f>
        <v>101212.8</v>
      </c>
    </row>
    <row r="162" spans="1:15" x14ac:dyDescent="0.3">
      <c r="A162" s="11"/>
      <c r="B162" s="93">
        <v>155</v>
      </c>
      <c r="C162" s="94">
        <v>46140</v>
      </c>
      <c r="D162" s="95" t="s">
        <v>336</v>
      </c>
      <c r="E162" s="95" t="s">
        <v>389</v>
      </c>
      <c r="F162" s="96" t="s">
        <v>182</v>
      </c>
      <c r="G162" s="96" t="s">
        <v>179</v>
      </c>
      <c r="H162" s="97">
        <v>92655</v>
      </c>
      <c r="I162" s="96" t="s">
        <v>531</v>
      </c>
      <c r="J162" s="97">
        <v>18531</v>
      </c>
      <c r="K162" s="92">
        <f>IF(INDEX(Cat_ChargesVAT,MATCH(tbl_Ledger[[#This Row],[Tax Category]],Cat_Codes,0))="No",0,tbl_Ledger[[#This Row],[Amount]]*VAT_Rate)</f>
        <v>13898.25</v>
      </c>
      <c r="L162" s="92">
        <f>IF(INDEX(Cat_ChargesVAT,MATCH(tbl_Ledger[[#This Row],[Tax Category]],Cat_Codes,0))="No",0,tbl_Ledger[[#This Row],[Amount]]*NHIL_Rate)</f>
        <v>2316.375</v>
      </c>
      <c r="M162" s="92">
        <f>IF(INDEX(Cat_ChargesVAT,MATCH(tbl_Ledger[[#This Row],[Tax Category]],Cat_Codes,0))="No",0,tbl_Ledger[[#This Row],[Amount]]*GETFund_Rate)</f>
        <v>2316.375</v>
      </c>
      <c r="N162" s="92">
        <f>tbl_Ledger[[#This Row],[Expected VAT]]+tbl_Ledger[[#This Row],[Expected NHIL]]+tbl_Ledger[[#This Row],[Expected GETFund]]</f>
        <v>18531</v>
      </c>
      <c r="O162" s="92">
        <f>tbl_Ledger[[#This Row],[Amount]]+tbl_Ledger[[#This Row],[Tax Charged on Invoice]]</f>
        <v>111186</v>
      </c>
    </row>
    <row r="163" spans="1:15" x14ac:dyDescent="0.3">
      <c r="A163" s="11"/>
      <c r="B163" s="93">
        <v>156</v>
      </c>
      <c r="C163" s="94">
        <v>46141</v>
      </c>
      <c r="D163" s="95" t="s">
        <v>397</v>
      </c>
      <c r="E163" s="95" t="s">
        <v>318</v>
      </c>
      <c r="F163" s="96" t="s">
        <v>201</v>
      </c>
      <c r="G163" s="96" t="s">
        <v>205</v>
      </c>
      <c r="H163" s="97">
        <v>2342</v>
      </c>
      <c r="I163" s="96" t="s">
        <v>532</v>
      </c>
      <c r="J163" s="97">
        <v>0</v>
      </c>
      <c r="K163" s="92">
        <f>IF(INDEX(Cat_ChargesVAT,MATCH(tbl_Ledger[[#This Row],[Tax Category]],Cat_Codes,0))="No",0,tbl_Ledger[[#This Row],[Amount]]*VAT_Rate)</f>
        <v>0</v>
      </c>
      <c r="L163" s="92">
        <f>IF(INDEX(Cat_ChargesVAT,MATCH(tbl_Ledger[[#This Row],[Tax Category]],Cat_Codes,0))="No",0,tbl_Ledger[[#This Row],[Amount]]*NHIL_Rate)</f>
        <v>0</v>
      </c>
      <c r="M163" s="92">
        <f>IF(INDEX(Cat_ChargesVAT,MATCH(tbl_Ledger[[#This Row],[Tax Category]],Cat_Codes,0))="No",0,tbl_Ledger[[#This Row],[Amount]]*GETFund_Rate)</f>
        <v>0</v>
      </c>
      <c r="N163" s="92">
        <f>tbl_Ledger[[#This Row],[Expected VAT]]+tbl_Ledger[[#This Row],[Expected NHIL]]+tbl_Ledger[[#This Row],[Expected GETFund]]</f>
        <v>0</v>
      </c>
      <c r="O163" s="92">
        <f>tbl_Ledger[[#This Row],[Amount]]+tbl_Ledger[[#This Row],[Tax Charged on Invoice]]</f>
        <v>2342</v>
      </c>
    </row>
    <row r="164" spans="1:15" x14ac:dyDescent="0.3">
      <c r="A164" s="11"/>
      <c r="B164" s="93">
        <v>157</v>
      </c>
      <c r="C164" s="94">
        <v>46141</v>
      </c>
      <c r="D164" s="95" t="s">
        <v>280</v>
      </c>
      <c r="E164" s="95" t="s">
        <v>412</v>
      </c>
      <c r="F164" s="96" t="s">
        <v>201</v>
      </c>
      <c r="G164" s="96" t="s">
        <v>199</v>
      </c>
      <c r="H164" s="97">
        <v>31261</v>
      </c>
      <c r="I164" s="96" t="s">
        <v>533</v>
      </c>
      <c r="J164" s="97">
        <v>6252.2</v>
      </c>
      <c r="K164" s="92">
        <f>IF(INDEX(Cat_ChargesVAT,MATCH(tbl_Ledger[[#This Row],[Tax Category]],Cat_Codes,0))="No",0,tbl_Ledger[[#This Row],[Amount]]*VAT_Rate)</f>
        <v>4689.1499999999996</v>
      </c>
      <c r="L164" s="92">
        <f>IF(INDEX(Cat_ChargesVAT,MATCH(tbl_Ledger[[#This Row],[Tax Category]],Cat_Codes,0))="No",0,tbl_Ledger[[#This Row],[Amount]]*NHIL_Rate)</f>
        <v>781.52500000000009</v>
      </c>
      <c r="M164" s="92">
        <f>IF(INDEX(Cat_ChargesVAT,MATCH(tbl_Ledger[[#This Row],[Tax Category]],Cat_Codes,0))="No",0,tbl_Ledger[[#This Row],[Amount]]*GETFund_Rate)</f>
        <v>781.52500000000009</v>
      </c>
      <c r="N164" s="92">
        <f>tbl_Ledger[[#This Row],[Expected VAT]]+tbl_Ledger[[#This Row],[Expected NHIL]]+tbl_Ledger[[#This Row],[Expected GETFund]]</f>
        <v>6252.1999999999989</v>
      </c>
      <c r="O164" s="92">
        <f>tbl_Ledger[[#This Row],[Amount]]+tbl_Ledger[[#This Row],[Tax Charged on Invoice]]</f>
        <v>37513.199999999997</v>
      </c>
    </row>
    <row r="165" spans="1:15" x14ac:dyDescent="0.3">
      <c r="A165" s="11"/>
      <c r="B165" s="93">
        <v>158</v>
      </c>
      <c r="C165" s="94">
        <v>46141</v>
      </c>
      <c r="D165" s="95" t="s">
        <v>534</v>
      </c>
      <c r="E165" s="95" t="s">
        <v>294</v>
      </c>
      <c r="F165" s="96" t="s">
        <v>182</v>
      </c>
      <c r="G165" s="96" t="s">
        <v>179</v>
      </c>
      <c r="H165" s="97">
        <v>77152</v>
      </c>
      <c r="I165" s="96" t="s">
        <v>535</v>
      </c>
      <c r="J165" s="97">
        <v>15430.4</v>
      </c>
      <c r="K165" s="92">
        <f>IF(INDEX(Cat_ChargesVAT,MATCH(tbl_Ledger[[#This Row],[Tax Category]],Cat_Codes,0))="No",0,tbl_Ledger[[#This Row],[Amount]]*VAT_Rate)</f>
        <v>11572.8</v>
      </c>
      <c r="L165" s="92">
        <f>IF(INDEX(Cat_ChargesVAT,MATCH(tbl_Ledger[[#This Row],[Tax Category]],Cat_Codes,0))="No",0,tbl_Ledger[[#This Row],[Amount]]*NHIL_Rate)</f>
        <v>1928.8000000000002</v>
      </c>
      <c r="M165" s="92">
        <f>IF(INDEX(Cat_ChargesVAT,MATCH(tbl_Ledger[[#This Row],[Tax Category]],Cat_Codes,0))="No",0,tbl_Ledger[[#This Row],[Amount]]*GETFund_Rate)</f>
        <v>1928.8000000000002</v>
      </c>
      <c r="N165" s="92">
        <f>tbl_Ledger[[#This Row],[Expected VAT]]+tbl_Ledger[[#This Row],[Expected NHIL]]+tbl_Ledger[[#This Row],[Expected GETFund]]</f>
        <v>15430.399999999998</v>
      </c>
      <c r="O165" s="92">
        <f>tbl_Ledger[[#This Row],[Amount]]+tbl_Ledger[[#This Row],[Tax Charged on Invoice]]</f>
        <v>92582.399999999994</v>
      </c>
    </row>
    <row r="166" spans="1:15" x14ac:dyDescent="0.3">
      <c r="A166" s="11"/>
      <c r="B166" s="93">
        <v>159</v>
      </c>
      <c r="C166" s="94">
        <v>46142</v>
      </c>
      <c r="D166" s="95" t="s">
        <v>536</v>
      </c>
      <c r="E166" s="95" t="s">
        <v>453</v>
      </c>
      <c r="F166" s="96" t="s">
        <v>201</v>
      </c>
      <c r="G166" s="96" t="s">
        <v>205</v>
      </c>
      <c r="H166" s="97">
        <v>9994</v>
      </c>
      <c r="I166" s="96" t="s">
        <v>537</v>
      </c>
      <c r="J166" s="97">
        <v>0</v>
      </c>
      <c r="K166" s="92">
        <f>IF(INDEX(Cat_ChargesVAT,MATCH(tbl_Ledger[[#This Row],[Tax Category]],Cat_Codes,0))="No",0,tbl_Ledger[[#This Row],[Amount]]*VAT_Rate)</f>
        <v>0</v>
      </c>
      <c r="L166" s="92">
        <f>IF(INDEX(Cat_ChargesVAT,MATCH(tbl_Ledger[[#This Row],[Tax Category]],Cat_Codes,0))="No",0,tbl_Ledger[[#This Row],[Amount]]*NHIL_Rate)</f>
        <v>0</v>
      </c>
      <c r="M166" s="92">
        <f>IF(INDEX(Cat_ChargesVAT,MATCH(tbl_Ledger[[#This Row],[Tax Category]],Cat_Codes,0))="No",0,tbl_Ledger[[#This Row],[Amount]]*GETFund_Rate)</f>
        <v>0</v>
      </c>
      <c r="N166" s="92">
        <f>tbl_Ledger[[#This Row],[Expected VAT]]+tbl_Ledger[[#This Row],[Expected NHIL]]+tbl_Ledger[[#This Row],[Expected GETFund]]</f>
        <v>0</v>
      </c>
      <c r="O166" s="92">
        <f>tbl_Ledger[[#This Row],[Amount]]+tbl_Ledger[[#This Row],[Tax Charged on Invoice]]</f>
        <v>9994</v>
      </c>
    </row>
    <row r="167" spans="1:15" x14ac:dyDescent="0.3">
      <c r="A167" s="11"/>
      <c r="B167" s="93">
        <v>160</v>
      </c>
      <c r="C167" s="94">
        <v>46142</v>
      </c>
      <c r="D167" s="95" t="s">
        <v>538</v>
      </c>
      <c r="E167" s="95" t="s">
        <v>345</v>
      </c>
      <c r="F167" s="96" t="s">
        <v>201</v>
      </c>
      <c r="G167" s="96" t="s">
        <v>212</v>
      </c>
      <c r="H167" s="97">
        <v>91640</v>
      </c>
      <c r="I167" s="96" t="s">
        <v>539</v>
      </c>
      <c r="J167" s="97">
        <v>0</v>
      </c>
      <c r="K167" s="92">
        <f>IF(INDEX(Cat_ChargesVAT,MATCH(tbl_Ledger[[#This Row],[Tax Category]],Cat_Codes,0))="No",0,tbl_Ledger[[#This Row],[Amount]]*VAT_Rate)</f>
        <v>0</v>
      </c>
      <c r="L167" s="92">
        <f>IF(INDEX(Cat_ChargesVAT,MATCH(tbl_Ledger[[#This Row],[Tax Category]],Cat_Codes,0))="No",0,tbl_Ledger[[#This Row],[Amount]]*NHIL_Rate)</f>
        <v>0</v>
      </c>
      <c r="M167" s="92">
        <f>IF(INDEX(Cat_ChargesVAT,MATCH(tbl_Ledger[[#This Row],[Tax Category]],Cat_Codes,0))="No",0,tbl_Ledger[[#This Row],[Amount]]*GETFund_Rate)</f>
        <v>0</v>
      </c>
      <c r="N167" s="92">
        <f>tbl_Ledger[[#This Row],[Expected VAT]]+tbl_Ledger[[#This Row],[Expected NHIL]]+tbl_Ledger[[#This Row],[Expected GETFund]]</f>
        <v>0</v>
      </c>
      <c r="O167" s="92">
        <f>tbl_Ledger[[#This Row],[Amount]]+tbl_Ledger[[#This Row],[Tax Charged on Invoice]]</f>
        <v>91640</v>
      </c>
    </row>
    <row r="168" spans="1:15" x14ac:dyDescent="0.3">
      <c r="A168" s="11"/>
      <c r="B168" s="93">
        <v>161</v>
      </c>
      <c r="C168" s="94">
        <v>46142</v>
      </c>
      <c r="D168" s="95" t="s">
        <v>482</v>
      </c>
      <c r="E168" s="95" t="s">
        <v>253</v>
      </c>
      <c r="F168" s="96" t="s">
        <v>182</v>
      </c>
      <c r="G168" s="96" t="s">
        <v>187</v>
      </c>
      <c r="H168" s="97">
        <v>69311</v>
      </c>
      <c r="I168" s="96" t="s">
        <v>540</v>
      </c>
      <c r="J168" s="97">
        <v>13862.2</v>
      </c>
      <c r="K168" s="92">
        <f>IF(INDEX(Cat_ChargesVAT,MATCH(tbl_Ledger[[#This Row],[Tax Category]],Cat_Codes,0))="No",0,tbl_Ledger[[#This Row],[Amount]]*VAT_Rate)</f>
        <v>10396.65</v>
      </c>
      <c r="L168" s="92">
        <f>IF(INDEX(Cat_ChargesVAT,MATCH(tbl_Ledger[[#This Row],[Tax Category]],Cat_Codes,0))="No",0,tbl_Ledger[[#This Row],[Amount]]*NHIL_Rate)</f>
        <v>1732.7750000000001</v>
      </c>
      <c r="M168" s="92">
        <f>IF(INDEX(Cat_ChargesVAT,MATCH(tbl_Ledger[[#This Row],[Tax Category]],Cat_Codes,0))="No",0,tbl_Ledger[[#This Row],[Amount]]*GETFund_Rate)</f>
        <v>1732.7750000000001</v>
      </c>
      <c r="N168" s="92">
        <f>tbl_Ledger[[#This Row],[Expected VAT]]+tbl_Ledger[[#This Row],[Expected NHIL]]+tbl_Ledger[[#This Row],[Expected GETFund]]</f>
        <v>13862.199999999999</v>
      </c>
      <c r="O168" s="92">
        <f>tbl_Ledger[[#This Row],[Amount]]+tbl_Ledger[[#This Row],[Tax Charged on Invoice]]</f>
        <v>83173.2</v>
      </c>
    </row>
    <row r="169" spans="1:15" x14ac:dyDescent="0.3">
      <c r="A169" s="11"/>
      <c r="B169" s="93">
        <v>162</v>
      </c>
      <c r="C169" s="94">
        <v>46143</v>
      </c>
      <c r="D169" s="95" t="s">
        <v>541</v>
      </c>
      <c r="E169" s="95" t="s">
        <v>322</v>
      </c>
      <c r="F169" s="96" t="s">
        <v>201</v>
      </c>
      <c r="G169" s="96" t="s">
        <v>199</v>
      </c>
      <c r="H169" s="97">
        <v>27692</v>
      </c>
      <c r="I169" s="96" t="s">
        <v>542</v>
      </c>
      <c r="J169" s="97">
        <v>5538.4</v>
      </c>
      <c r="K169" s="92">
        <f>IF(INDEX(Cat_ChargesVAT,MATCH(tbl_Ledger[[#This Row],[Tax Category]],Cat_Codes,0))="No",0,tbl_Ledger[[#This Row],[Amount]]*VAT_Rate)</f>
        <v>4153.8</v>
      </c>
      <c r="L169" s="92">
        <f>IF(INDEX(Cat_ChargesVAT,MATCH(tbl_Ledger[[#This Row],[Tax Category]],Cat_Codes,0))="No",0,tbl_Ledger[[#This Row],[Amount]]*NHIL_Rate)</f>
        <v>692.30000000000007</v>
      </c>
      <c r="M169" s="92">
        <f>IF(INDEX(Cat_ChargesVAT,MATCH(tbl_Ledger[[#This Row],[Tax Category]],Cat_Codes,0))="No",0,tbl_Ledger[[#This Row],[Amount]]*GETFund_Rate)</f>
        <v>692.30000000000007</v>
      </c>
      <c r="N169" s="92">
        <f>tbl_Ledger[[#This Row],[Expected VAT]]+tbl_Ledger[[#This Row],[Expected NHIL]]+tbl_Ledger[[#This Row],[Expected GETFund]]</f>
        <v>5538.4000000000005</v>
      </c>
      <c r="O169" s="92">
        <f>tbl_Ledger[[#This Row],[Amount]]+tbl_Ledger[[#This Row],[Tax Charged on Invoice]]</f>
        <v>33230.400000000001</v>
      </c>
    </row>
    <row r="170" spans="1:15" x14ac:dyDescent="0.3">
      <c r="A170" s="11"/>
      <c r="B170" s="93">
        <v>163</v>
      </c>
      <c r="C170" s="94">
        <v>46144</v>
      </c>
      <c r="D170" s="95" t="s">
        <v>342</v>
      </c>
      <c r="E170" s="95" t="s">
        <v>417</v>
      </c>
      <c r="F170" s="96" t="s">
        <v>201</v>
      </c>
      <c r="G170" s="96" t="s">
        <v>199</v>
      </c>
      <c r="H170" s="97">
        <v>7681</v>
      </c>
      <c r="I170" s="96" t="s">
        <v>543</v>
      </c>
      <c r="J170" s="97">
        <v>1536.2</v>
      </c>
      <c r="K170" s="92">
        <f>IF(INDEX(Cat_ChargesVAT,MATCH(tbl_Ledger[[#This Row],[Tax Category]],Cat_Codes,0))="No",0,tbl_Ledger[[#This Row],[Amount]]*VAT_Rate)</f>
        <v>1152.1499999999999</v>
      </c>
      <c r="L170" s="92">
        <f>IF(INDEX(Cat_ChargesVAT,MATCH(tbl_Ledger[[#This Row],[Tax Category]],Cat_Codes,0))="No",0,tbl_Ledger[[#This Row],[Amount]]*NHIL_Rate)</f>
        <v>192.02500000000001</v>
      </c>
      <c r="M170" s="92">
        <f>IF(INDEX(Cat_ChargesVAT,MATCH(tbl_Ledger[[#This Row],[Tax Category]],Cat_Codes,0))="No",0,tbl_Ledger[[#This Row],[Amount]]*GETFund_Rate)</f>
        <v>192.02500000000001</v>
      </c>
      <c r="N170" s="92">
        <f>tbl_Ledger[[#This Row],[Expected VAT]]+tbl_Ledger[[#This Row],[Expected NHIL]]+tbl_Ledger[[#This Row],[Expected GETFund]]</f>
        <v>1536.2</v>
      </c>
      <c r="O170" s="92">
        <f>tbl_Ledger[[#This Row],[Amount]]+tbl_Ledger[[#This Row],[Tax Charged on Invoice]]</f>
        <v>9217.2000000000007</v>
      </c>
    </row>
    <row r="171" spans="1:15" x14ac:dyDescent="0.3">
      <c r="A171" s="11"/>
      <c r="B171" s="93">
        <v>164</v>
      </c>
      <c r="C171" s="94">
        <v>46144</v>
      </c>
      <c r="D171" s="95" t="s">
        <v>544</v>
      </c>
      <c r="E171" s="95" t="s">
        <v>313</v>
      </c>
      <c r="F171" s="96" t="s">
        <v>182</v>
      </c>
      <c r="G171" s="96" t="s">
        <v>187</v>
      </c>
      <c r="H171" s="97">
        <v>53475</v>
      </c>
      <c r="I171" s="96" t="s">
        <v>545</v>
      </c>
      <c r="J171" s="97">
        <v>10695</v>
      </c>
      <c r="K171" s="92">
        <f>IF(INDEX(Cat_ChargesVAT,MATCH(tbl_Ledger[[#This Row],[Tax Category]],Cat_Codes,0))="No",0,tbl_Ledger[[#This Row],[Amount]]*VAT_Rate)</f>
        <v>8021.25</v>
      </c>
      <c r="L171" s="92">
        <f>IF(INDEX(Cat_ChargesVAT,MATCH(tbl_Ledger[[#This Row],[Tax Category]],Cat_Codes,0))="No",0,tbl_Ledger[[#This Row],[Amount]]*NHIL_Rate)</f>
        <v>1336.875</v>
      </c>
      <c r="M171" s="92">
        <f>IF(INDEX(Cat_ChargesVAT,MATCH(tbl_Ledger[[#This Row],[Tax Category]],Cat_Codes,0))="No",0,tbl_Ledger[[#This Row],[Amount]]*GETFund_Rate)</f>
        <v>1336.875</v>
      </c>
      <c r="N171" s="92">
        <f>tbl_Ledger[[#This Row],[Expected VAT]]+tbl_Ledger[[#This Row],[Expected NHIL]]+tbl_Ledger[[#This Row],[Expected GETFund]]</f>
        <v>10695</v>
      </c>
      <c r="O171" s="92">
        <f>tbl_Ledger[[#This Row],[Amount]]+tbl_Ledger[[#This Row],[Tax Charged on Invoice]]</f>
        <v>64170</v>
      </c>
    </row>
    <row r="172" spans="1:15" x14ac:dyDescent="0.3">
      <c r="A172" s="11"/>
      <c r="B172" s="93">
        <v>165</v>
      </c>
      <c r="C172" s="94">
        <v>46146</v>
      </c>
      <c r="D172" s="95" t="s">
        <v>546</v>
      </c>
      <c r="E172" s="95" t="s">
        <v>268</v>
      </c>
      <c r="F172" s="96" t="s">
        <v>201</v>
      </c>
      <c r="G172" s="96" t="s">
        <v>205</v>
      </c>
      <c r="H172" s="97">
        <v>49946</v>
      </c>
      <c r="I172" s="96" t="s">
        <v>547</v>
      </c>
      <c r="J172" s="97">
        <v>0</v>
      </c>
      <c r="K172" s="92">
        <f>IF(INDEX(Cat_ChargesVAT,MATCH(tbl_Ledger[[#This Row],[Tax Category]],Cat_Codes,0))="No",0,tbl_Ledger[[#This Row],[Amount]]*VAT_Rate)</f>
        <v>0</v>
      </c>
      <c r="L172" s="92">
        <f>IF(INDEX(Cat_ChargesVAT,MATCH(tbl_Ledger[[#This Row],[Tax Category]],Cat_Codes,0))="No",0,tbl_Ledger[[#This Row],[Amount]]*NHIL_Rate)</f>
        <v>0</v>
      </c>
      <c r="M172" s="92">
        <f>IF(INDEX(Cat_ChargesVAT,MATCH(tbl_Ledger[[#This Row],[Tax Category]],Cat_Codes,0))="No",0,tbl_Ledger[[#This Row],[Amount]]*GETFund_Rate)</f>
        <v>0</v>
      </c>
      <c r="N172" s="92">
        <f>tbl_Ledger[[#This Row],[Expected VAT]]+tbl_Ledger[[#This Row],[Expected NHIL]]+tbl_Ledger[[#This Row],[Expected GETFund]]</f>
        <v>0</v>
      </c>
      <c r="O172" s="92">
        <f>tbl_Ledger[[#This Row],[Amount]]+tbl_Ledger[[#This Row],[Tax Charged on Invoice]]</f>
        <v>49946</v>
      </c>
    </row>
    <row r="173" spans="1:15" x14ac:dyDescent="0.3">
      <c r="A173" s="11"/>
      <c r="B173" s="93">
        <v>166</v>
      </c>
      <c r="C173" s="94">
        <v>46147</v>
      </c>
      <c r="D173" s="95" t="s">
        <v>548</v>
      </c>
      <c r="E173" s="95" t="s">
        <v>288</v>
      </c>
      <c r="F173" s="96" t="s">
        <v>182</v>
      </c>
      <c r="G173" s="96" t="s">
        <v>187</v>
      </c>
      <c r="H173" s="97">
        <v>62944</v>
      </c>
      <c r="I173" s="96" t="s">
        <v>549</v>
      </c>
      <c r="J173" s="97">
        <v>12588.8</v>
      </c>
      <c r="K173" s="92">
        <f>IF(INDEX(Cat_ChargesVAT,MATCH(tbl_Ledger[[#This Row],[Tax Category]],Cat_Codes,0))="No",0,tbl_Ledger[[#This Row],[Amount]]*VAT_Rate)</f>
        <v>9441.6</v>
      </c>
      <c r="L173" s="92">
        <f>IF(INDEX(Cat_ChargesVAT,MATCH(tbl_Ledger[[#This Row],[Tax Category]],Cat_Codes,0))="No",0,tbl_Ledger[[#This Row],[Amount]]*NHIL_Rate)</f>
        <v>1573.6000000000001</v>
      </c>
      <c r="M173" s="92">
        <f>IF(INDEX(Cat_ChargesVAT,MATCH(tbl_Ledger[[#This Row],[Tax Category]],Cat_Codes,0))="No",0,tbl_Ledger[[#This Row],[Amount]]*GETFund_Rate)</f>
        <v>1573.6000000000001</v>
      </c>
      <c r="N173" s="92">
        <f>tbl_Ledger[[#This Row],[Expected VAT]]+tbl_Ledger[[#This Row],[Expected NHIL]]+tbl_Ledger[[#This Row],[Expected GETFund]]</f>
        <v>12588.800000000001</v>
      </c>
      <c r="O173" s="92">
        <f>tbl_Ledger[[#This Row],[Amount]]+tbl_Ledger[[#This Row],[Tax Charged on Invoice]]</f>
        <v>75532.800000000003</v>
      </c>
    </row>
    <row r="174" spans="1:15" x14ac:dyDescent="0.3">
      <c r="A174" s="11"/>
      <c r="B174" s="93">
        <v>167</v>
      </c>
      <c r="C174" s="94">
        <v>46148</v>
      </c>
      <c r="D174" s="95" t="s">
        <v>403</v>
      </c>
      <c r="E174" s="95" t="s">
        <v>461</v>
      </c>
      <c r="F174" s="96" t="s">
        <v>201</v>
      </c>
      <c r="G174" s="96" t="s">
        <v>212</v>
      </c>
      <c r="H174" s="97">
        <v>86941</v>
      </c>
      <c r="I174" s="96" t="s">
        <v>550</v>
      </c>
      <c r="J174" s="97">
        <v>0</v>
      </c>
      <c r="K174" s="92">
        <f>IF(INDEX(Cat_ChargesVAT,MATCH(tbl_Ledger[[#This Row],[Tax Category]],Cat_Codes,0))="No",0,tbl_Ledger[[#This Row],[Amount]]*VAT_Rate)</f>
        <v>0</v>
      </c>
      <c r="L174" s="92">
        <f>IF(INDEX(Cat_ChargesVAT,MATCH(tbl_Ledger[[#This Row],[Tax Category]],Cat_Codes,0))="No",0,tbl_Ledger[[#This Row],[Amount]]*NHIL_Rate)</f>
        <v>0</v>
      </c>
      <c r="M174" s="92">
        <f>IF(INDEX(Cat_ChargesVAT,MATCH(tbl_Ledger[[#This Row],[Tax Category]],Cat_Codes,0))="No",0,tbl_Ledger[[#This Row],[Amount]]*GETFund_Rate)</f>
        <v>0</v>
      </c>
      <c r="N174" s="92">
        <f>tbl_Ledger[[#This Row],[Expected VAT]]+tbl_Ledger[[#This Row],[Expected NHIL]]+tbl_Ledger[[#This Row],[Expected GETFund]]</f>
        <v>0</v>
      </c>
      <c r="O174" s="92">
        <f>tbl_Ledger[[#This Row],[Amount]]+tbl_Ledger[[#This Row],[Tax Charged on Invoice]]</f>
        <v>86941</v>
      </c>
    </row>
    <row r="175" spans="1:15" x14ac:dyDescent="0.3">
      <c r="A175" s="11"/>
      <c r="B175" s="93">
        <v>168</v>
      </c>
      <c r="C175" s="94">
        <v>46150</v>
      </c>
      <c r="D175" s="95" t="s">
        <v>541</v>
      </c>
      <c r="E175" s="95" t="s">
        <v>429</v>
      </c>
      <c r="F175" s="96" t="s">
        <v>201</v>
      </c>
      <c r="G175" s="96" t="s">
        <v>199</v>
      </c>
      <c r="H175" s="97">
        <v>16494</v>
      </c>
      <c r="I175" s="96" t="s">
        <v>551</v>
      </c>
      <c r="J175" s="97">
        <v>3298.8</v>
      </c>
      <c r="K175" s="92">
        <f>IF(INDEX(Cat_ChargesVAT,MATCH(tbl_Ledger[[#This Row],[Tax Category]],Cat_Codes,0))="No",0,tbl_Ledger[[#This Row],[Amount]]*VAT_Rate)</f>
        <v>2474.1</v>
      </c>
      <c r="L175" s="92">
        <f>IF(INDEX(Cat_ChargesVAT,MATCH(tbl_Ledger[[#This Row],[Tax Category]],Cat_Codes,0))="No",0,tbl_Ledger[[#This Row],[Amount]]*NHIL_Rate)</f>
        <v>412.35</v>
      </c>
      <c r="M175" s="92">
        <f>IF(INDEX(Cat_ChargesVAT,MATCH(tbl_Ledger[[#This Row],[Tax Category]],Cat_Codes,0))="No",0,tbl_Ledger[[#This Row],[Amount]]*GETFund_Rate)</f>
        <v>412.35</v>
      </c>
      <c r="N175" s="92">
        <f>tbl_Ledger[[#This Row],[Expected VAT]]+tbl_Ledger[[#This Row],[Expected NHIL]]+tbl_Ledger[[#This Row],[Expected GETFund]]</f>
        <v>3298.7999999999997</v>
      </c>
      <c r="O175" s="92">
        <f>tbl_Ledger[[#This Row],[Amount]]+tbl_Ledger[[#This Row],[Tax Charged on Invoice]]</f>
        <v>19792.8</v>
      </c>
    </row>
    <row r="176" spans="1:15" x14ac:dyDescent="0.3">
      <c r="A176" s="11"/>
      <c r="B176" s="93">
        <v>169</v>
      </c>
      <c r="C176" s="94">
        <v>46152</v>
      </c>
      <c r="D176" s="95" t="s">
        <v>381</v>
      </c>
      <c r="E176" s="95" t="s">
        <v>366</v>
      </c>
      <c r="F176" s="96" t="s">
        <v>201</v>
      </c>
      <c r="G176" s="96" t="s">
        <v>219</v>
      </c>
      <c r="H176" s="97">
        <v>8155</v>
      </c>
      <c r="I176" s="96" t="s">
        <v>552</v>
      </c>
      <c r="J176" s="97">
        <v>1631</v>
      </c>
      <c r="K176" s="92">
        <f>IF(INDEX(Cat_ChargesVAT,MATCH(tbl_Ledger[[#This Row],[Tax Category]],Cat_Codes,0))="No",0,tbl_Ledger[[#This Row],[Amount]]*VAT_Rate)</f>
        <v>1223.25</v>
      </c>
      <c r="L176" s="92">
        <f>IF(INDEX(Cat_ChargesVAT,MATCH(tbl_Ledger[[#This Row],[Tax Category]],Cat_Codes,0))="No",0,tbl_Ledger[[#This Row],[Amount]]*NHIL_Rate)</f>
        <v>203.875</v>
      </c>
      <c r="M176" s="92">
        <f>IF(INDEX(Cat_ChargesVAT,MATCH(tbl_Ledger[[#This Row],[Tax Category]],Cat_Codes,0))="No",0,tbl_Ledger[[#This Row],[Amount]]*GETFund_Rate)</f>
        <v>203.875</v>
      </c>
      <c r="N176" s="92">
        <f>tbl_Ledger[[#This Row],[Expected VAT]]+tbl_Ledger[[#This Row],[Expected NHIL]]+tbl_Ledger[[#This Row],[Expected GETFund]]</f>
        <v>1631</v>
      </c>
      <c r="O176" s="92">
        <f>tbl_Ledger[[#This Row],[Amount]]+tbl_Ledger[[#This Row],[Tax Charged on Invoice]]</f>
        <v>9786</v>
      </c>
    </row>
    <row r="177" spans="1:15" x14ac:dyDescent="0.3">
      <c r="A177" s="11"/>
      <c r="B177" s="93">
        <v>170</v>
      </c>
      <c r="C177" s="94">
        <v>46152</v>
      </c>
      <c r="D177" s="95" t="s">
        <v>553</v>
      </c>
      <c r="E177" s="95" t="s">
        <v>275</v>
      </c>
      <c r="F177" s="96" t="s">
        <v>201</v>
      </c>
      <c r="G177" s="96" t="s">
        <v>212</v>
      </c>
      <c r="H177" s="97">
        <v>13845</v>
      </c>
      <c r="I177" s="96" t="s">
        <v>554</v>
      </c>
      <c r="J177" s="97">
        <v>0</v>
      </c>
      <c r="K177" s="92">
        <f>IF(INDEX(Cat_ChargesVAT,MATCH(tbl_Ledger[[#This Row],[Tax Category]],Cat_Codes,0))="No",0,tbl_Ledger[[#This Row],[Amount]]*VAT_Rate)</f>
        <v>0</v>
      </c>
      <c r="L177" s="92">
        <f>IF(INDEX(Cat_ChargesVAT,MATCH(tbl_Ledger[[#This Row],[Tax Category]],Cat_Codes,0))="No",0,tbl_Ledger[[#This Row],[Amount]]*NHIL_Rate)</f>
        <v>0</v>
      </c>
      <c r="M177" s="92">
        <f>IF(INDEX(Cat_ChargesVAT,MATCH(tbl_Ledger[[#This Row],[Tax Category]],Cat_Codes,0))="No",0,tbl_Ledger[[#This Row],[Amount]]*GETFund_Rate)</f>
        <v>0</v>
      </c>
      <c r="N177" s="92">
        <f>tbl_Ledger[[#This Row],[Expected VAT]]+tbl_Ledger[[#This Row],[Expected NHIL]]+tbl_Ledger[[#This Row],[Expected GETFund]]</f>
        <v>0</v>
      </c>
      <c r="O177" s="92">
        <f>tbl_Ledger[[#This Row],[Amount]]+tbl_Ledger[[#This Row],[Tax Charged on Invoice]]</f>
        <v>13845</v>
      </c>
    </row>
    <row r="178" spans="1:15" x14ac:dyDescent="0.3">
      <c r="A178" s="11"/>
      <c r="B178" s="93">
        <v>171</v>
      </c>
      <c r="C178" s="94">
        <v>46153</v>
      </c>
      <c r="D178" s="95" t="s">
        <v>296</v>
      </c>
      <c r="E178" s="95" t="s">
        <v>261</v>
      </c>
      <c r="F178" s="96" t="s">
        <v>182</v>
      </c>
      <c r="G178" s="96" t="s">
        <v>179</v>
      </c>
      <c r="H178" s="97">
        <v>121233</v>
      </c>
      <c r="I178" s="96" t="s">
        <v>555</v>
      </c>
      <c r="J178" s="97">
        <v>24246.6</v>
      </c>
      <c r="K178" s="92">
        <f>IF(INDEX(Cat_ChargesVAT,MATCH(tbl_Ledger[[#This Row],[Tax Category]],Cat_Codes,0))="No",0,tbl_Ledger[[#This Row],[Amount]]*VAT_Rate)</f>
        <v>18184.95</v>
      </c>
      <c r="L178" s="92">
        <f>IF(INDEX(Cat_ChargesVAT,MATCH(tbl_Ledger[[#This Row],[Tax Category]],Cat_Codes,0))="No",0,tbl_Ledger[[#This Row],[Amount]]*NHIL_Rate)</f>
        <v>3030.8250000000003</v>
      </c>
      <c r="M178" s="92">
        <f>IF(INDEX(Cat_ChargesVAT,MATCH(tbl_Ledger[[#This Row],[Tax Category]],Cat_Codes,0))="No",0,tbl_Ledger[[#This Row],[Amount]]*GETFund_Rate)</f>
        <v>3030.8250000000003</v>
      </c>
      <c r="N178" s="92">
        <f>tbl_Ledger[[#This Row],[Expected VAT]]+tbl_Ledger[[#This Row],[Expected NHIL]]+tbl_Ledger[[#This Row],[Expected GETFund]]</f>
        <v>24246.600000000002</v>
      </c>
      <c r="O178" s="92">
        <f>tbl_Ledger[[#This Row],[Amount]]+tbl_Ledger[[#This Row],[Tax Charged on Invoice]]</f>
        <v>145479.6</v>
      </c>
    </row>
    <row r="179" spans="1:15" x14ac:dyDescent="0.3">
      <c r="A179" s="11"/>
      <c r="B179" s="93">
        <v>172</v>
      </c>
      <c r="C179" s="94">
        <v>46157</v>
      </c>
      <c r="D179" s="95" t="s">
        <v>556</v>
      </c>
      <c r="E179" s="95" t="s">
        <v>278</v>
      </c>
      <c r="F179" s="96" t="s">
        <v>201</v>
      </c>
      <c r="G179" s="96" t="s">
        <v>212</v>
      </c>
      <c r="H179" s="97">
        <v>55970</v>
      </c>
      <c r="I179" s="96" t="s">
        <v>557</v>
      </c>
      <c r="J179" s="97">
        <v>0</v>
      </c>
      <c r="K179" s="92">
        <f>IF(INDEX(Cat_ChargesVAT,MATCH(tbl_Ledger[[#This Row],[Tax Category]],Cat_Codes,0))="No",0,tbl_Ledger[[#This Row],[Amount]]*VAT_Rate)</f>
        <v>0</v>
      </c>
      <c r="L179" s="92">
        <f>IF(INDEX(Cat_ChargesVAT,MATCH(tbl_Ledger[[#This Row],[Tax Category]],Cat_Codes,0))="No",0,tbl_Ledger[[#This Row],[Amount]]*NHIL_Rate)</f>
        <v>0</v>
      </c>
      <c r="M179" s="92">
        <f>IF(INDEX(Cat_ChargesVAT,MATCH(tbl_Ledger[[#This Row],[Tax Category]],Cat_Codes,0))="No",0,tbl_Ledger[[#This Row],[Amount]]*GETFund_Rate)</f>
        <v>0</v>
      </c>
      <c r="N179" s="92">
        <f>tbl_Ledger[[#This Row],[Expected VAT]]+tbl_Ledger[[#This Row],[Expected NHIL]]+tbl_Ledger[[#This Row],[Expected GETFund]]</f>
        <v>0</v>
      </c>
      <c r="O179" s="92">
        <f>tbl_Ledger[[#This Row],[Amount]]+tbl_Ledger[[#This Row],[Tax Charged on Invoice]]</f>
        <v>55970</v>
      </c>
    </row>
    <row r="180" spans="1:15" x14ac:dyDescent="0.3">
      <c r="A180" s="11"/>
      <c r="B180" s="93">
        <v>173</v>
      </c>
      <c r="C180" s="94">
        <v>46158</v>
      </c>
      <c r="D180" s="95" t="s">
        <v>558</v>
      </c>
      <c r="E180" s="95" t="s">
        <v>275</v>
      </c>
      <c r="F180" s="96" t="s">
        <v>201</v>
      </c>
      <c r="G180" s="96" t="s">
        <v>212</v>
      </c>
      <c r="H180" s="97">
        <v>55444</v>
      </c>
      <c r="I180" s="96" t="s">
        <v>559</v>
      </c>
      <c r="J180" s="97">
        <v>0</v>
      </c>
      <c r="K180" s="92">
        <f>IF(INDEX(Cat_ChargesVAT,MATCH(tbl_Ledger[[#This Row],[Tax Category]],Cat_Codes,0))="No",0,tbl_Ledger[[#This Row],[Amount]]*VAT_Rate)</f>
        <v>0</v>
      </c>
      <c r="L180" s="92">
        <f>IF(INDEX(Cat_ChargesVAT,MATCH(tbl_Ledger[[#This Row],[Tax Category]],Cat_Codes,0))="No",0,tbl_Ledger[[#This Row],[Amount]]*NHIL_Rate)</f>
        <v>0</v>
      </c>
      <c r="M180" s="92">
        <f>IF(INDEX(Cat_ChargesVAT,MATCH(tbl_Ledger[[#This Row],[Tax Category]],Cat_Codes,0))="No",0,tbl_Ledger[[#This Row],[Amount]]*GETFund_Rate)</f>
        <v>0</v>
      </c>
      <c r="N180" s="92">
        <f>tbl_Ledger[[#This Row],[Expected VAT]]+tbl_Ledger[[#This Row],[Expected NHIL]]+tbl_Ledger[[#This Row],[Expected GETFund]]</f>
        <v>0</v>
      </c>
      <c r="O180" s="92">
        <f>tbl_Ledger[[#This Row],[Amount]]+tbl_Ledger[[#This Row],[Tax Charged on Invoice]]</f>
        <v>55444</v>
      </c>
    </row>
    <row r="181" spans="1:15" x14ac:dyDescent="0.3">
      <c r="A181" s="11"/>
      <c r="B181" s="93">
        <v>174</v>
      </c>
      <c r="C181" s="94">
        <v>46158</v>
      </c>
      <c r="D181" s="95" t="s">
        <v>560</v>
      </c>
      <c r="E181" s="95" t="s">
        <v>313</v>
      </c>
      <c r="F181" s="96" t="s">
        <v>182</v>
      </c>
      <c r="G181" s="96" t="s">
        <v>179</v>
      </c>
      <c r="H181" s="97">
        <v>52344</v>
      </c>
      <c r="I181" s="96" t="s">
        <v>561</v>
      </c>
      <c r="J181" s="97">
        <v>10468.799999999999</v>
      </c>
      <c r="K181" s="92">
        <f>IF(INDEX(Cat_ChargesVAT,MATCH(tbl_Ledger[[#This Row],[Tax Category]],Cat_Codes,0))="No",0,tbl_Ledger[[#This Row],[Amount]]*VAT_Rate)</f>
        <v>7851.5999999999995</v>
      </c>
      <c r="L181" s="92">
        <f>IF(INDEX(Cat_ChargesVAT,MATCH(tbl_Ledger[[#This Row],[Tax Category]],Cat_Codes,0))="No",0,tbl_Ledger[[#This Row],[Amount]]*NHIL_Rate)</f>
        <v>1308.6000000000001</v>
      </c>
      <c r="M181" s="92">
        <f>IF(INDEX(Cat_ChargesVAT,MATCH(tbl_Ledger[[#This Row],[Tax Category]],Cat_Codes,0))="No",0,tbl_Ledger[[#This Row],[Amount]]*GETFund_Rate)</f>
        <v>1308.6000000000001</v>
      </c>
      <c r="N181" s="92">
        <f>tbl_Ledger[[#This Row],[Expected VAT]]+tbl_Ledger[[#This Row],[Expected NHIL]]+tbl_Ledger[[#This Row],[Expected GETFund]]</f>
        <v>10468.799999999999</v>
      </c>
      <c r="O181" s="92">
        <f>tbl_Ledger[[#This Row],[Amount]]+tbl_Ledger[[#This Row],[Tax Charged on Invoice]]</f>
        <v>62812.800000000003</v>
      </c>
    </row>
    <row r="182" spans="1:15" x14ac:dyDescent="0.3">
      <c r="A182" s="11"/>
      <c r="B182" s="93">
        <v>175</v>
      </c>
      <c r="C182" s="94">
        <v>46158</v>
      </c>
      <c r="D182" s="95" t="s">
        <v>562</v>
      </c>
      <c r="E182" s="95" t="s">
        <v>253</v>
      </c>
      <c r="F182" s="96" t="s">
        <v>182</v>
      </c>
      <c r="G182" s="96" t="s">
        <v>179</v>
      </c>
      <c r="H182" s="97">
        <v>100614</v>
      </c>
      <c r="I182" s="96" t="s">
        <v>563</v>
      </c>
      <c r="J182" s="97">
        <v>20122.8</v>
      </c>
      <c r="K182" s="92">
        <f>IF(INDEX(Cat_ChargesVAT,MATCH(tbl_Ledger[[#This Row],[Tax Category]],Cat_Codes,0))="No",0,tbl_Ledger[[#This Row],[Amount]]*VAT_Rate)</f>
        <v>15092.099999999999</v>
      </c>
      <c r="L182" s="92">
        <f>IF(INDEX(Cat_ChargesVAT,MATCH(tbl_Ledger[[#This Row],[Tax Category]],Cat_Codes,0))="No",0,tbl_Ledger[[#This Row],[Amount]]*NHIL_Rate)</f>
        <v>2515.3500000000004</v>
      </c>
      <c r="M182" s="92">
        <f>IF(INDEX(Cat_ChargesVAT,MATCH(tbl_Ledger[[#This Row],[Tax Category]],Cat_Codes,0))="No",0,tbl_Ledger[[#This Row],[Amount]]*GETFund_Rate)</f>
        <v>2515.3500000000004</v>
      </c>
      <c r="N182" s="92">
        <f>tbl_Ledger[[#This Row],[Expected VAT]]+tbl_Ledger[[#This Row],[Expected NHIL]]+tbl_Ledger[[#This Row],[Expected GETFund]]</f>
        <v>20122.799999999996</v>
      </c>
      <c r="O182" s="92">
        <f>tbl_Ledger[[#This Row],[Amount]]+tbl_Ledger[[#This Row],[Tax Charged on Invoice]]</f>
        <v>120736.8</v>
      </c>
    </row>
    <row r="183" spans="1:15" x14ac:dyDescent="0.3">
      <c r="A183" s="11"/>
      <c r="B183" s="93">
        <v>176</v>
      </c>
      <c r="C183" s="94">
        <v>46158</v>
      </c>
      <c r="D183" s="95" t="s">
        <v>564</v>
      </c>
      <c r="E183" s="95" t="s">
        <v>516</v>
      </c>
      <c r="F183" s="96" t="s">
        <v>182</v>
      </c>
      <c r="G183" s="96" t="s">
        <v>179</v>
      </c>
      <c r="H183" s="97">
        <v>56693</v>
      </c>
      <c r="I183" s="96" t="s">
        <v>565</v>
      </c>
      <c r="J183" s="97">
        <v>11338.6</v>
      </c>
      <c r="K183" s="92">
        <f>IF(INDEX(Cat_ChargesVAT,MATCH(tbl_Ledger[[#This Row],[Tax Category]],Cat_Codes,0))="No",0,tbl_Ledger[[#This Row],[Amount]]*VAT_Rate)</f>
        <v>8503.9499999999989</v>
      </c>
      <c r="L183" s="92">
        <f>IF(INDEX(Cat_ChargesVAT,MATCH(tbl_Ledger[[#This Row],[Tax Category]],Cat_Codes,0))="No",0,tbl_Ledger[[#This Row],[Amount]]*NHIL_Rate)</f>
        <v>1417.325</v>
      </c>
      <c r="M183" s="92">
        <f>IF(INDEX(Cat_ChargesVAT,MATCH(tbl_Ledger[[#This Row],[Tax Category]],Cat_Codes,0))="No",0,tbl_Ledger[[#This Row],[Amount]]*GETFund_Rate)</f>
        <v>1417.325</v>
      </c>
      <c r="N183" s="92">
        <f>tbl_Ledger[[#This Row],[Expected VAT]]+tbl_Ledger[[#This Row],[Expected NHIL]]+tbl_Ledger[[#This Row],[Expected GETFund]]</f>
        <v>11338.6</v>
      </c>
      <c r="O183" s="92">
        <f>tbl_Ledger[[#This Row],[Amount]]+tbl_Ledger[[#This Row],[Tax Charged on Invoice]]</f>
        <v>68031.600000000006</v>
      </c>
    </row>
    <row r="184" spans="1:15" x14ac:dyDescent="0.3">
      <c r="A184" s="11"/>
      <c r="B184" s="93">
        <v>177</v>
      </c>
      <c r="C184" s="94">
        <v>46159</v>
      </c>
      <c r="D184" s="95" t="s">
        <v>548</v>
      </c>
      <c r="E184" s="95" t="s">
        <v>516</v>
      </c>
      <c r="F184" s="96" t="s">
        <v>182</v>
      </c>
      <c r="G184" s="96" t="s">
        <v>187</v>
      </c>
      <c r="H184" s="97">
        <v>40225</v>
      </c>
      <c r="I184" s="96" t="s">
        <v>566</v>
      </c>
      <c r="J184" s="97">
        <v>8045</v>
      </c>
      <c r="K184" s="92">
        <f>IF(INDEX(Cat_ChargesVAT,MATCH(tbl_Ledger[[#This Row],[Tax Category]],Cat_Codes,0))="No",0,tbl_Ledger[[#This Row],[Amount]]*VAT_Rate)</f>
        <v>6033.75</v>
      </c>
      <c r="L184" s="92">
        <f>IF(INDEX(Cat_ChargesVAT,MATCH(tbl_Ledger[[#This Row],[Tax Category]],Cat_Codes,0))="No",0,tbl_Ledger[[#This Row],[Amount]]*NHIL_Rate)</f>
        <v>1005.625</v>
      </c>
      <c r="M184" s="92">
        <f>IF(INDEX(Cat_ChargesVAT,MATCH(tbl_Ledger[[#This Row],[Tax Category]],Cat_Codes,0))="No",0,tbl_Ledger[[#This Row],[Amount]]*GETFund_Rate)</f>
        <v>1005.625</v>
      </c>
      <c r="N184" s="92">
        <f>tbl_Ledger[[#This Row],[Expected VAT]]+tbl_Ledger[[#This Row],[Expected NHIL]]+tbl_Ledger[[#This Row],[Expected GETFund]]</f>
        <v>8045</v>
      </c>
      <c r="O184" s="92">
        <f>tbl_Ledger[[#This Row],[Amount]]+tbl_Ledger[[#This Row],[Tax Charged on Invoice]]</f>
        <v>48270</v>
      </c>
    </row>
    <row r="185" spans="1:15" x14ac:dyDescent="0.3">
      <c r="A185" s="11"/>
      <c r="B185" s="93">
        <v>178</v>
      </c>
      <c r="C185" s="94">
        <v>46160</v>
      </c>
      <c r="D185" s="95" t="s">
        <v>567</v>
      </c>
      <c r="E185" s="95" t="s">
        <v>261</v>
      </c>
      <c r="F185" s="96" t="s">
        <v>182</v>
      </c>
      <c r="G185" s="96" t="s">
        <v>179</v>
      </c>
      <c r="H185" s="97">
        <v>60436</v>
      </c>
      <c r="I185" s="96" t="s">
        <v>568</v>
      </c>
      <c r="J185" s="97">
        <v>12087.2</v>
      </c>
      <c r="K185" s="92">
        <f>IF(INDEX(Cat_ChargesVAT,MATCH(tbl_Ledger[[#This Row],[Tax Category]],Cat_Codes,0))="No",0,tbl_Ledger[[#This Row],[Amount]]*VAT_Rate)</f>
        <v>9065.4</v>
      </c>
      <c r="L185" s="92">
        <f>IF(INDEX(Cat_ChargesVAT,MATCH(tbl_Ledger[[#This Row],[Tax Category]],Cat_Codes,0))="No",0,tbl_Ledger[[#This Row],[Amount]]*NHIL_Rate)</f>
        <v>1510.9</v>
      </c>
      <c r="M185" s="92">
        <f>IF(INDEX(Cat_ChargesVAT,MATCH(tbl_Ledger[[#This Row],[Tax Category]],Cat_Codes,0))="No",0,tbl_Ledger[[#This Row],[Amount]]*GETFund_Rate)</f>
        <v>1510.9</v>
      </c>
      <c r="N185" s="92">
        <f>tbl_Ledger[[#This Row],[Expected VAT]]+tbl_Ledger[[#This Row],[Expected NHIL]]+tbl_Ledger[[#This Row],[Expected GETFund]]</f>
        <v>12087.199999999999</v>
      </c>
      <c r="O185" s="92">
        <f>tbl_Ledger[[#This Row],[Amount]]+tbl_Ledger[[#This Row],[Tax Charged on Invoice]]</f>
        <v>72523.199999999997</v>
      </c>
    </row>
    <row r="186" spans="1:15" x14ac:dyDescent="0.3">
      <c r="A186" s="11"/>
      <c r="B186" s="93">
        <v>179</v>
      </c>
      <c r="C186" s="94">
        <v>46162</v>
      </c>
      <c r="D186" s="95" t="s">
        <v>349</v>
      </c>
      <c r="E186" s="95" t="s">
        <v>288</v>
      </c>
      <c r="F186" s="96" t="s">
        <v>182</v>
      </c>
      <c r="G186" s="96" t="s">
        <v>179</v>
      </c>
      <c r="H186" s="97">
        <v>84742</v>
      </c>
      <c r="I186" s="96" t="s">
        <v>569</v>
      </c>
      <c r="J186" s="97">
        <v>16948.400000000001</v>
      </c>
      <c r="K186" s="92">
        <f>IF(INDEX(Cat_ChargesVAT,MATCH(tbl_Ledger[[#This Row],[Tax Category]],Cat_Codes,0))="No",0,tbl_Ledger[[#This Row],[Amount]]*VAT_Rate)</f>
        <v>12711.3</v>
      </c>
      <c r="L186" s="92">
        <f>IF(INDEX(Cat_ChargesVAT,MATCH(tbl_Ledger[[#This Row],[Tax Category]],Cat_Codes,0))="No",0,tbl_Ledger[[#This Row],[Amount]]*NHIL_Rate)</f>
        <v>2118.5500000000002</v>
      </c>
      <c r="M186" s="92">
        <f>IF(INDEX(Cat_ChargesVAT,MATCH(tbl_Ledger[[#This Row],[Tax Category]],Cat_Codes,0))="No",0,tbl_Ledger[[#This Row],[Amount]]*GETFund_Rate)</f>
        <v>2118.5500000000002</v>
      </c>
      <c r="N186" s="92">
        <f>tbl_Ledger[[#This Row],[Expected VAT]]+tbl_Ledger[[#This Row],[Expected NHIL]]+tbl_Ledger[[#This Row],[Expected GETFund]]</f>
        <v>16948.399999999998</v>
      </c>
      <c r="O186" s="92">
        <f>tbl_Ledger[[#This Row],[Amount]]+tbl_Ledger[[#This Row],[Tax Charged on Invoice]]</f>
        <v>101690.4</v>
      </c>
    </row>
    <row r="187" spans="1:15" x14ac:dyDescent="0.3">
      <c r="A187" s="11"/>
      <c r="B187" s="93">
        <v>180</v>
      </c>
      <c r="C187" s="94">
        <v>46163</v>
      </c>
      <c r="D187" s="95" t="s">
        <v>570</v>
      </c>
      <c r="E187" s="95" t="s">
        <v>275</v>
      </c>
      <c r="F187" s="96" t="s">
        <v>201</v>
      </c>
      <c r="G187" s="96" t="s">
        <v>212</v>
      </c>
      <c r="H187" s="97">
        <v>56274</v>
      </c>
      <c r="I187" s="96" t="s">
        <v>571</v>
      </c>
      <c r="J187" s="97">
        <v>0</v>
      </c>
      <c r="K187" s="92">
        <f>IF(INDEX(Cat_ChargesVAT,MATCH(tbl_Ledger[[#This Row],[Tax Category]],Cat_Codes,0))="No",0,tbl_Ledger[[#This Row],[Amount]]*VAT_Rate)</f>
        <v>0</v>
      </c>
      <c r="L187" s="92">
        <f>IF(INDEX(Cat_ChargesVAT,MATCH(tbl_Ledger[[#This Row],[Tax Category]],Cat_Codes,0))="No",0,tbl_Ledger[[#This Row],[Amount]]*NHIL_Rate)</f>
        <v>0</v>
      </c>
      <c r="M187" s="92">
        <f>IF(INDEX(Cat_ChargesVAT,MATCH(tbl_Ledger[[#This Row],[Tax Category]],Cat_Codes,0))="No",0,tbl_Ledger[[#This Row],[Amount]]*GETFund_Rate)</f>
        <v>0</v>
      </c>
      <c r="N187" s="92">
        <f>tbl_Ledger[[#This Row],[Expected VAT]]+tbl_Ledger[[#This Row],[Expected NHIL]]+tbl_Ledger[[#This Row],[Expected GETFund]]</f>
        <v>0</v>
      </c>
      <c r="O187" s="92">
        <f>tbl_Ledger[[#This Row],[Amount]]+tbl_Ledger[[#This Row],[Tax Charged on Invoice]]</f>
        <v>56274</v>
      </c>
    </row>
    <row r="188" spans="1:15" x14ac:dyDescent="0.3">
      <c r="A188" s="11"/>
      <c r="B188" s="93">
        <v>181</v>
      </c>
      <c r="C188" s="94">
        <v>46164</v>
      </c>
      <c r="D188" s="95" t="s">
        <v>320</v>
      </c>
      <c r="E188" s="95" t="s">
        <v>429</v>
      </c>
      <c r="F188" s="96" t="s">
        <v>201</v>
      </c>
      <c r="G188" s="96" t="s">
        <v>199</v>
      </c>
      <c r="H188" s="97">
        <v>19982</v>
      </c>
      <c r="I188" s="96" t="s">
        <v>572</v>
      </c>
      <c r="J188" s="97">
        <v>3996.4</v>
      </c>
      <c r="K188" s="92">
        <f>IF(INDEX(Cat_ChargesVAT,MATCH(tbl_Ledger[[#This Row],[Tax Category]],Cat_Codes,0))="No",0,tbl_Ledger[[#This Row],[Amount]]*VAT_Rate)</f>
        <v>2997.2999999999997</v>
      </c>
      <c r="L188" s="92">
        <f>IF(INDEX(Cat_ChargesVAT,MATCH(tbl_Ledger[[#This Row],[Tax Category]],Cat_Codes,0))="No",0,tbl_Ledger[[#This Row],[Amount]]*NHIL_Rate)</f>
        <v>499.55</v>
      </c>
      <c r="M188" s="92">
        <f>IF(INDEX(Cat_ChargesVAT,MATCH(tbl_Ledger[[#This Row],[Tax Category]],Cat_Codes,0))="No",0,tbl_Ledger[[#This Row],[Amount]]*GETFund_Rate)</f>
        <v>499.55</v>
      </c>
      <c r="N188" s="92">
        <f>tbl_Ledger[[#This Row],[Expected VAT]]+tbl_Ledger[[#This Row],[Expected NHIL]]+tbl_Ledger[[#This Row],[Expected GETFund]]</f>
        <v>3996.4</v>
      </c>
      <c r="O188" s="92">
        <f>tbl_Ledger[[#This Row],[Amount]]+tbl_Ledger[[#This Row],[Tax Charged on Invoice]]</f>
        <v>23978.400000000001</v>
      </c>
    </row>
    <row r="189" spans="1:15" x14ac:dyDescent="0.3">
      <c r="A189" s="11"/>
      <c r="B189" s="93">
        <v>182</v>
      </c>
      <c r="C189" s="94">
        <v>46164</v>
      </c>
      <c r="D189" s="95" t="s">
        <v>541</v>
      </c>
      <c r="E189" s="95" t="s">
        <v>412</v>
      </c>
      <c r="F189" s="96" t="s">
        <v>201</v>
      </c>
      <c r="G189" s="96" t="s">
        <v>199</v>
      </c>
      <c r="H189" s="97">
        <v>6805</v>
      </c>
      <c r="I189" s="96" t="s">
        <v>573</v>
      </c>
      <c r="J189" s="97">
        <v>1361</v>
      </c>
      <c r="K189" s="92">
        <f>IF(INDEX(Cat_ChargesVAT,MATCH(tbl_Ledger[[#This Row],[Tax Category]],Cat_Codes,0))="No",0,tbl_Ledger[[#This Row],[Amount]]*VAT_Rate)</f>
        <v>1020.75</v>
      </c>
      <c r="L189" s="92">
        <f>IF(INDEX(Cat_ChargesVAT,MATCH(tbl_Ledger[[#This Row],[Tax Category]],Cat_Codes,0))="No",0,tbl_Ledger[[#This Row],[Amount]]*NHIL_Rate)</f>
        <v>170.125</v>
      </c>
      <c r="M189" s="92">
        <f>IF(INDEX(Cat_ChargesVAT,MATCH(tbl_Ledger[[#This Row],[Tax Category]],Cat_Codes,0))="No",0,tbl_Ledger[[#This Row],[Amount]]*GETFund_Rate)</f>
        <v>170.125</v>
      </c>
      <c r="N189" s="92">
        <f>tbl_Ledger[[#This Row],[Expected VAT]]+tbl_Ledger[[#This Row],[Expected NHIL]]+tbl_Ledger[[#This Row],[Expected GETFund]]</f>
        <v>1361</v>
      </c>
      <c r="O189" s="92">
        <f>tbl_Ledger[[#This Row],[Amount]]+tbl_Ledger[[#This Row],[Tax Charged on Invoice]]</f>
        <v>8166</v>
      </c>
    </row>
    <row r="190" spans="1:15" x14ac:dyDescent="0.3">
      <c r="A190" s="11"/>
      <c r="B190" s="93">
        <v>183</v>
      </c>
      <c r="C190" s="94">
        <v>46164</v>
      </c>
      <c r="D190" s="95" t="s">
        <v>320</v>
      </c>
      <c r="E190" s="95" t="s">
        <v>574</v>
      </c>
      <c r="F190" s="96" t="s">
        <v>201</v>
      </c>
      <c r="G190" s="96" t="s">
        <v>199</v>
      </c>
      <c r="H190" s="97">
        <v>3970</v>
      </c>
      <c r="I190" s="96" t="s">
        <v>575</v>
      </c>
      <c r="J190" s="97">
        <v>794</v>
      </c>
      <c r="K190" s="92">
        <f>IF(INDEX(Cat_ChargesVAT,MATCH(tbl_Ledger[[#This Row],[Tax Category]],Cat_Codes,0))="No",0,tbl_Ledger[[#This Row],[Amount]]*VAT_Rate)</f>
        <v>595.5</v>
      </c>
      <c r="L190" s="92">
        <f>IF(INDEX(Cat_ChargesVAT,MATCH(tbl_Ledger[[#This Row],[Tax Category]],Cat_Codes,0))="No",0,tbl_Ledger[[#This Row],[Amount]]*NHIL_Rate)</f>
        <v>99.25</v>
      </c>
      <c r="M190" s="92">
        <f>IF(INDEX(Cat_ChargesVAT,MATCH(tbl_Ledger[[#This Row],[Tax Category]],Cat_Codes,0))="No",0,tbl_Ledger[[#This Row],[Amount]]*GETFund_Rate)</f>
        <v>99.25</v>
      </c>
      <c r="N190" s="92">
        <f>tbl_Ledger[[#This Row],[Expected VAT]]+tbl_Ledger[[#This Row],[Expected NHIL]]+tbl_Ledger[[#This Row],[Expected GETFund]]</f>
        <v>794</v>
      </c>
      <c r="O190" s="92">
        <f>tbl_Ledger[[#This Row],[Amount]]+tbl_Ledger[[#This Row],[Tax Charged on Invoice]]</f>
        <v>4764</v>
      </c>
    </row>
    <row r="191" spans="1:15" x14ac:dyDescent="0.3">
      <c r="A191" s="11"/>
      <c r="B191" s="93">
        <v>184</v>
      </c>
      <c r="C191" s="94">
        <v>46165</v>
      </c>
      <c r="D191" s="95" t="s">
        <v>255</v>
      </c>
      <c r="E191" s="95" t="s">
        <v>496</v>
      </c>
      <c r="F191" s="96" t="s">
        <v>201</v>
      </c>
      <c r="G191" s="96" t="s">
        <v>199</v>
      </c>
      <c r="H191" s="97">
        <v>2615</v>
      </c>
      <c r="I191" s="96" t="s">
        <v>576</v>
      </c>
      <c r="J191" s="97">
        <v>523</v>
      </c>
      <c r="K191" s="92">
        <f>IF(INDEX(Cat_ChargesVAT,MATCH(tbl_Ledger[[#This Row],[Tax Category]],Cat_Codes,0))="No",0,tbl_Ledger[[#This Row],[Amount]]*VAT_Rate)</f>
        <v>392.25</v>
      </c>
      <c r="L191" s="92">
        <f>IF(INDEX(Cat_ChargesVAT,MATCH(tbl_Ledger[[#This Row],[Tax Category]],Cat_Codes,0))="No",0,tbl_Ledger[[#This Row],[Amount]]*NHIL_Rate)</f>
        <v>65.375</v>
      </c>
      <c r="M191" s="92">
        <f>IF(INDEX(Cat_ChargesVAT,MATCH(tbl_Ledger[[#This Row],[Tax Category]],Cat_Codes,0))="No",0,tbl_Ledger[[#This Row],[Amount]]*GETFund_Rate)</f>
        <v>65.375</v>
      </c>
      <c r="N191" s="92">
        <f>tbl_Ledger[[#This Row],[Expected VAT]]+tbl_Ledger[[#This Row],[Expected NHIL]]+tbl_Ledger[[#This Row],[Expected GETFund]]</f>
        <v>523</v>
      </c>
      <c r="O191" s="92">
        <f>tbl_Ledger[[#This Row],[Amount]]+tbl_Ledger[[#This Row],[Tax Charged on Invoice]]</f>
        <v>3138</v>
      </c>
    </row>
    <row r="192" spans="1:15" x14ac:dyDescent="0.3">
      <c r="A192" s="11"/>
      <c r="B192" s="93">
        <v>185</v>
      </c>
      <c r="C192" s="94">
        <v>46165</v>
      </c>
      <c r="D192" s="95" t="s">
        <v>290</v>
      </c>
      <c r="E192" s="95" t="s">
        <v>291</v>
      </c>
      <c r="F192" s="96" t="s">
        <v>201</v>
      </c>
      <c r="G192" s="96" t="s">
        <v>199</v>
      </c>
      <c r="H192" s="97">
        <v>6772</v>
      </c>
      <c r="I192" s="96" t="s">
        <v>577</v>
      </c>
      <c r="J192" s="97">
        <v>1354.4</v>
      </c>
      <c r="K192" s="92">
        <f>IF(INDEX(Cat_ChargesVAT,MATCH(tbl_Ledger[[#This Row],[Tax Category]],Cat_Codes,0))="No",0,tbl_Ledger[[#This Row],[Amount]]*VAT_Rate)</f>
        <v>1015.8</v>
      </c>
      <c r="L192" s="92">
        <f>IF(INDEX(Cat_ChargesVAT,MATCH(tbl_Ledger[[#This Row],[Tax Category]],Cat_Codes,0))="No",0,tbl_Ledger[[#This Row],[Amount]]*NHIL_Rate)</f>
        <v>169.3</v>
      </c>
      <c r="M192" s="92">
        <f>IF(INDEX(Cat_ChargesVAT,MATCH(tbl_Ledger[[#This Row],[Tax Category]],Cat_Codes,0))="No",0,tbl_Ledger[[#This Row],[Amount]]*GETFund_Rate)</f>
        <v>169.3</v>
      </c>
      <c r="N192" s="92">
        <f>tbl_Ledger[[#This Row],[Expected VAT]]+tbl_Ledger[[#This Row],[Expected NHIL]]+tbl_Ledger[[#This Row],[Expected GETFund]]</f>
        <v>1354.3999999999999</v>
      </c>
      <c r="O192" s="92">
        <f>tbl_Ledger[[#This Row],[Amount]]+tbl_Ledger[[#This Row],[Tax Charged on Invoice]]</f>
        <v>8126.4</v>
      </c>
    </row>
    <row r="193" spans="1:15" x14ac:dyDescent="0.3">
      <c r="A193" s="11"/>
      <c r="B193" s="93">
        <v>186</v>
      </c>
      <c r="C193" s="94">
        <v>46167</v>
      </c>
      <c r="D193" s="95" t="s">
        <v>386</v>
      </c>
      <c r="E193" s="95" t="s">
        <v>453</v>
      </c>
      <c r="F193" s="96" t="s">
        <v>201</v>
      </c>
      <c r="G193" s="96" t="s">
        <v>205</v>
      </c>
      <c r="H193" s="97">
        <v>32587</v>
      </c>
      <c r="I193" s="96" t="s">
        <v>578</v>
      </c>
      <c r="J193" s="97">
        <v>0</v>
      </c>
      <c r="K193" s="92">
        <f>IF(INDEX(Cat_ChargesVAT,MATCH(tbl_Ledger[[#This Row],[Tax Category]],Cat_Codes,0))="No",0,tbl_Ledger[[#This Row],[Amount]]*VAT_Rate)</f>
        <v>0</v>
      </c>
      <c r="L193" s="92">
        <f>IF(INDEX(Cat_ChargesVAT,MATCH(tbl_Ledger[[#This Row],[Tax Category]],Cat_Codes,0))="No",0,tbl_Ledger[[#This Row],[Amount]]*NHIL_Rate)</f>
        <v>0</v>
      </c>
      <c r="M193" s="92">
        <f>IF(INDEX(Cat_ChargesVAT,MATCH(tbl_Ledger[[#This Row],[Tax Category]],Cat_Codes,0))="No",0,tbl_Ledger[[#This Row],[Amount]]*GETFund_Rate)</f>
        <v>0</v>
      </c>
      <c r="N193" s="92">
        <f>tbl_Ledger[[#This Row],[Expected VAT]]+tbl_Ledger[[#This Row],[Expected NHIL]]+tbl_Ledger[[#This Row],[Expected GETFund]]</f>
        <v>0</v>
      </c>
      <c r="O193" s="92">
        <f>tbl_Ledger[[#This Row],[Amount]]+tbl_Ledger[[#This Row],[Tax Charged on Invoice]]</f>
        <v>32587</v>
      </c>
    </row>
    <row r="194" spans="1:15" x14ac:dyDescent="0.3">
      <c r="A194" s="11"/>
      <c r="B194" s="93">
        <v>187</v>
      </c>
      <c r="C194" s="94">
        <v>46167</v>
      </c>
      <c r="D194" s="95" t="s">
        <v>579</v>
      </c>
      <c r="E194" s="95" t="s">
        <v>268</v>
      </c>
      <c r="F194" s="96" t="s">
        <v>201</v>
      </c>
      <c r="G194" s="96" t="s">
        <v>205</v>
      </c>
      <c r="H194" s="97">
        <v>40199</v>
      </c>
      <c r="I194" s="96" t="s">
        <v>580</v>
      </c>
      <c r="J194" s="97">
        <v>0</v>
      </c>
      <c r="K194" s="92">
        <f>IF(INDEX(Cat_ChargesVAT,MATCH(tbl_Ledger[[#This Row],[Tax Category]],Cat_Codes,0))="No",0,tbl_Ledger[[#This Row],[Amount]]*VAT_Rate)</f>
        <v>0</v>
      </c>
      <c r="L194" s="92">
        <f>IF(INDEX(Cat_ChargesVAT,MATCH(tbl_Ledger[[#This Row],[Tax Category]],Cat_Codes,0))="No",0,tbl_Ledger[[#This Row],[Amount]]*NHIL_Rate)</f>
        <v>0</v>
      </c>
      <c r="M194" s="92">
        <f>IF(INDEX(Cat_ChargesVAT,MATCH(tbl_Ledger[[#This Row],[Tax Category]],Cat_Codes,0))="No",0,tbl_Ledger[[#This Row],[Amount]]*GETFund_Rate)</f>
        <v>0</v>
      </c>
      <c r="N194" s="92">
        <f>tbl_Ledger[[#This Row],[Expected VAT]]+tbl_Ledger[[#This Row],[Expected NHIL]]+tbl_Ledger[[#This Row],[Expected GETFund]]</f>
        <v>0</v>
      </c>
      <c r="O194" s="92">
        <f>tbl_Ledger[[#This Row],[Amount]]+tbl_Ledger[[#This Row],[Tax Charged on Invoice]]</f>
        <v>40199</v>
      </c>
    </row>
    <row r="195" spans="1:15" x14ac:dyDescent="0.3">
      <c r="A195" s="11"/>
      <c r="B195" s="93">
        <v>188</v>
      </c>
      <c r="C195" s="94">
        <v>46167</v>
      </c>
      <c r="D195" s="95" t="s">
        <v>336</v>
      </c>
      <c r="E195" s="95" t="s">
        <v>294</v>
      </c>
      <c r="F195" s="96" t="s">
        <v>182</v>
      </c>
      <c r="G195" s="96" t="s">
        <v>179</v>
      </c>
      <c r="H195" s="97">
        <v>61283</v>
      </c>
      <c r="I195" s="96" t="s">
        <v>581</v>
      </c>
      <c r="J195" s="97">
        <v>12256.6</v>
      </c>
      <c r="K195" s="92">
        <f>IF(INDEX(Cat_ChargesVAT,MATCH(tbl_Ledger[[#This Row],[Tax Category]],Cat_Codes,0))="No",0,tbl_Ledger[[#This Row],[Amount]]*VAT_Rate)</f>
        <v>9192.4499999999989</v>
      </c>
      <c r="L195" s="92">
        <f>IF(INDEX(Cat_ChargesVAT,MATCH(tbl_Ledger[[#This Row],[Tax Category]],Cat_Codes,0))="No",0,tbl_Ledger[[#This Row],[Amount]]*NHIL_Rate)</f>
        <v>1532.075</v>
      </c>
      <c r="M195" s="92">
        <f>IF(INDEX(Cat_ChargesVAT,MATCH(tbl_Ledger[[#This Row],[Tax Category]],Cat_Codes,0))="No",0,tbl_Ledger[[#This Row],[Amount]]*GETFund_Rate)</f>
        <v>1532.075</v>
      </c>
      <c r="N195" s="92">
        <f>tbl_Ledger[[#This Row],[Expected VAT]]+tbl_Ledger[[#This Row],[Expected NHIL]]+tbl_Ledger[[#This Row],[Expected GETFund]]</f>
        <v>12256.6</v>
      </c>
      <c r="O195" s="92">
        <f>tbl_Ledger[[#This Row],[Amount]]+tbl_Ledger[[#This Row],[Tax Charged on Invoice]]</f>
        <v>73539.600000000006</v>
      </c>
    </row>
    <row r="196" spans="1:15" x14ac:dyDescent="0.3">
      <c r="A196" s="11"/>
      <c r="B196" s="93">
        <v>189</v>
      </c>
      <c r="C196" s="94">
        <v>46169</v>
      </c>
      <c r="D196" s="95" t="s">
        <v>320</v>
      </c>
      <c r="E196" s="95" t="s">
        <v>429</v>
      </c>
      <c r="F196" s="96" t="s">
        <v>201</v>
      </c>
      <c r="G196" s="96" t="s">
        <v>199</v>
      </c>
      <c r="H196" s="97">
        <v>13939</v>
      </c>
      <c r="I196" s="96" t="s">
        <v>582</v>
      </c>
      <c r="J196" s="97">
        <v>2787.8</v>
      </c>
      <c r="K196" s="92">
        <f>IF(INDEX(Cat_ChargesVAT,MATCH(tbl_Ledger[[#This Row],[Tax Category]],Cat_Codes,0))="No",0,tbl_Ledger[[#This Row],[Amount]]*VAT_Rate)</f>
        <v>2090.85</v>
      </c>
      <c r="L196" s="92">
        <f>IF(INDEX(Cat_ChargesVAT,MATCH(tbl_Ledger[[#This Row],[Tax Category]],Cat_Codes,0))="No",0,tbl_Ledger[[#This Row],[Amount]]*NHIL_Rate)</f>
        <v>348.47500000000002</v>
      </c>
      <c r="M196" s="92">
        <f>IF(INDEX(Cat_ChargesVAT,MATCH(tbl_Ledger[[#This Row],[Tax Category]],Cat_Codes,0))="No",0,tbl_Ledger[[#This Row],[Amount]]*GETFund_Rate)</f>
        <v>348.47500000000002</v>
      </c>
      <c r="N196" s="92">
        <f>tbl_Ledger[[#This Row],[Expected VAT]]+tbl_Ledger[[#This Row],[Expected NHIL]]+tbl_Ledger[[#This Row],[Expected GETFund]]</f>
        <v>2787.7999999999997</v>
      </c>
      <c r="O196" s="92">
        <f>tbl_Ledger[[#This Row],[Amount]]+tbl_Ledger[[#This Row],[Tax Charged on Invoice]]</f>
        <v>16726.8</v>
      </c>
    </row>
    <row r="197" spans="1:15" x14ac:dyDescent="0.3">
      <c r="A197" s="11"/>
      <c r="B197" s="93">
        <v>190</v>
      </c>
      <c r="C197" s="94">
        <v>46170</v>
      </c>
      <c r="D197" s="95" t="s">
        <v>536</v>
      </c>
      <c r="E197" s="95" t="s">
        <v>330</v>
      </c>
      <c r="F197" s="96" t="s">
        <v>201</v>
      </c>
      <c r="G197" s="96" t="s">
        <v>205</v>
      </c>
      <c r="H197" s="97">
        <v>8592</v>
      </c>
      <c r="I197" s="96" t="s">
        <v>583</v>
      </c>
      <c r="J197" s="97">
        <v>0</v>
      </c>
      <c r="K197" s="92">
        <f>IF(INDEX(Cat_ChargesVAT,MATCH(tbl_Ledger[[#This Row],[Tax Category]],Cat_Codes,0))="No",0,tbl_Ledger[[#This Row],[Amount]]*VAT_Rate)</f>
        <v>0</v>
      </c>
      <c r="L197" s="92">
        <f>IF(INDEX(Cat_ChargesVAT,MATCH(tbl_Ledger[[#This Row],[Tax Category]],Cat_Codes,0))="No",0,tbl_Ledger[[#This Row],[Amount]]*NHIL_Rate)</f>
        <v>0</v>
      </c>
      <c r="M197" s="92">
        <f>IF(INDEX(Cat_ChargesVAT,MATCH(tbl_Ledger[[#This Row],[Tax Category]],Cat_Codes,0))="No",0,tbl_Ledger[[#This Row],[Amount]]*GETFund_Rate)</f>
        <v>0</v>
      </c>
      <c r="N197" s="92">
        <f>tbl_Ledger[[#This Row],[Expected VAT]]+tbl_Ledger[[#This Row],[Expected NHIL]]+tbl_Ledger[[#This Row],[Expected GETFund]]</f>
        <v>0</v>
      </c>
      <c r="O197" s="92">
        <f>tbl_Ledger[[#This Row],[Amount]]+tbl_Ledger[[#This Row],[Tax Charged on Invoice]]</f>
        <v>8592</v>
      </c>
    </row>
    <row r="198" spans="1:15" x14ac:dyDescent="0.3">
      <c r="A198" s="11"/>
      <c r="B198" s="93">
        <v>191</v>
      </c>
      <c r="C198" s="94">
        <v>46171</v>
      </c>
      <c r="D198" s="95" t="s">
        <v>584</v>
      </c>
      <c r="E198" s="95" t="s">
        <v>288</v>
      </c>
      <c r="F198" s="96" t="s">
        <v>182</v>
      </c>
      <c r="G198" s="96" t="s">
        <v>179</v>
      </c>
      <c r="H198" s="97">
        <v>51613</v>
      </c>
      <c r="I198" s="96" t="s">
        <v>585</v>
      </c>
      <c r="J198" s="97">
        <v>10322.6</v>
      </c>
      <c r="K198" s="92">
        <f>IF(INDEX(Cat_ChargesVAT,MATCH(tbl_Ledger[[#This Row],[Tax Category]],Cat_Codes,0))="No",0,tbl_Ledger[[#This Row],[Amount]]*VAT_Rate)</f>
        <v>7741.95</v>
      </c>
      <c r="L198" s="92">
        <f>IF(INDEX(Cat_ChargesVAT,MATCH(tbl_Ledger[[#This Row],[Tax Category]],Cat_Codes,0))="No",0,tbl_Ledger[[#This Row],[Amount]]*NHIL_Rate)</f>
        <v>1290.325</v>
      </c>
      <c r="M198" s="92">
        <f>IF(INDEX(Cat_ChargesVAT,MATCH(tbl_Ledger[[#This Row],[Tax Category]],Cat_Codes,0))="No",0,tbl_Ledger[[#This Row],[Amount]]*GETFund_Rate)</f>
        <v>1290.325</v>
      </c>
      <c r="N198" s="92">
        <f>tbl_Ledger[[#This Row],[Expected VAT]]+tbl_Ledger[[#This Row],[Expected NHIL]]+tbl_Ledger[[#This Row],[Expected GETFund]]</f>
        <v>10322.6</v>
      </c>
      <c r="O198" s="92">
        <f>tbl_Ledger[[#This Row],[Amount]]+tbl_Ledger[[#This Row],[Tax Charged on Invoice]]</f>
        <v>61935.6</v>
      </c>
    </row>
    <row r="199" spans="1:15" x14ac:dyDescent="0.3">
      <c r="A199" s="11"/>
      <c r="B199" s="93">
        <v>192</v>
      </c>
      <c r="C199" s="94">
        <v>46172</v>
      </c>
      <c r="D199" s="95" t="s">
        <v>586</v>
      </c>
      <c r="E199" s="95" t="s">
        <v>268</v>
      </c>
      <c r="F199" s="96" t="s">
        <v>201</v>
      </c>
      <c r="G199" s="96" t="s">
        <v>205</v>
      </c>
      <c r="H199" s="97">
        <v>43931</v>
      </c>
      <c r="I199" s="96" t="s">
        <v>587</v>
      </c>
      <c r="J199" s="97">
        <v>0</v>
      </c>
      <c r="K199" s="92">
        <f>IF(INDEX(Cat_ChargesVAT,MATCH(tbl_Ledger[[#This Row],[Tax Category]],Cat_Codes,0))="No",0,tbl_Ledger[[#This Row],[Amount]]*VAT_Rate)</f>
        <v>0</v>
      </c>
      <c r="L199" s="92">
        <f>IF(INDEX(Cat_ChargesVAT,MATCH(tbl_Ledger[[#This Row],[Tax Category]],Cat_Codes,0))="No",0,tbl_Ledger[[#This Row],[Amount]]*NHIL_Rate)</f>
        <v>0</v>
      </c>
      <c r="M199" s="92">
        <f>IF(INDEX(Cat_ChargesVAT,MATCH(tbl_Ledger[[#This Row],[Tax Category]],Cat_Codes,0))="No",0,tbl_Ledger[[#This Row],[Amount]]*GETFund_Rate)</f>
        <v>0</v>
      </c>
      <c r="N199" s="92">
        <f>tbl_Ledger[[#This Row],[Expected VAT]]+tbl_Ledger[[#This Row],[Expected NHIL]]+tbl_Ledger[[#This Row],[Expected GETFund]]</f>
        <v>0</v>
      </c>
      <c r="O199" s="92">
        <f>tbl_Ledger[[#This Row],[Amount]]+tbl_Ledger[[#This Row],[Tax Charged on Invoice]]</f>
        <v>43931</v>
      </c>
    </row>
    <row r="200" spans="1:15" x14ac:dyDescent="0.3">
      <c r="A200" s="11"/>
      <c r="B200" s="93">
        <v>193</v>
      </c>
      <c r="C200" s="94">
        <v>46172</v>
      </c>
      <c r="D200" s="95" t="s">
        <v>541</v>
      </c>
      <c r="E200" s="95" t="s">
        <v>574</v>
      </c>
      <c r="F200" s="96" t="s">
        <v>201</v>
      </c>
      <c r="G200" s="96" t="s">
        <v>199</v>
      </c>
      <c r="H200" s="97">
        <v>19957</v>
      </c>
      <c r="I200" s="96" t="s">
        <v>588</v>
      </c>
      <c r="J200" s="97">
        <v>3991.4</v>
      </c>
      <c r="K200" s="92">
        <f>IF(INDEX(Cat_ChargesVAT,MATCH(tbl_Ledger[[#This Row],[Tax Category]],Cat_Codes,0))="No",0,tbl_Ledger[[#This Row],[Amount]]*VAT_Rate)</f>
        <v>2993.5499999999997</v>
      </c>
      <c r="L200" s="92">
        <f>IF(INDEX(Cat_ChargesVAT,MATCH(tbl_Ledger[[#This Row],[Tax Category]],Cat_Codes,0))="No",0,tbl_Ledger[[#This Row],[Amount]]*NHIL_Rate)</f>
        <v>498.92500000000001</v>
      </c>
      <c r="M200" s="92">
        <f>IF(INDEX(Cat_ChargesVAT,MATCH(tbl_Ledger[[#This Row],[Tax Category]],Cat_Codes,0))="No",0,tbl_Ledger[[#This Row],[Amount]]*GETFund_Rate)</f>
        <v>498.92500000000001</v>
      </c>
      <c r="N200" s="92">
        <f>tbl_Ledger[[#This Row],[Expected VAT]]+tbl_Ledger[[#This Row],[Expected NHIL]]+tbl_Ledger[[#This Row],[Expected GETFund]]</f>
        <v>3991.4</v>
      </c>
      <c r="O200" s="92">
        <f>tbl_Ledger[[#This Row],[Amount]]+tbl_Ledger[[#This Row],[Tax Charged on Invoice]]</f>
        <v>23948.400000000001</v>
      </c>
    </row>
    <row r="201" spans="1:15" x14ac:dyDescent="0.3">
      <c r="A201" s="11"/>
      <c r="B201" s="93">
        <v>194</v>
      </c>
      <c r="C201" s="94">
        <v>46173</v>
      </c>
      <c r="D201" s="95" t="s">
        <v>440</v>
      </c>
      <c r="E201" s="95" t="s">
        <v>382</v>
      </c>
      <c r="F201" s="96" t="s">
        <v>201</v>
      </c>
      <c r="G201" s="96" t="s">
        <v>219</v>
      </c>
      <c r="H201" s="97">
        <v>2169</v>
      </c>
      <c r="I201" s="96" t="s">
        <v>589</v>
      </c>
      <c r="J201" s="97">
        <v>433.8</v>
      </c>
      <c r="K201" s="92">
        <f>IF(INDEX(Cat_ChargesVAT,MATCH(tbl_Ledger[[#This Row],[Tax Category]],Cat_Codes,0))="No",0,tbl_Ledger[[#This Row],[Amount]]*VAT_Rate)</f>
        <v>325.34999999999997</v>
      </c>
      <c r="L201" s="92">
        <f>IF(INDEX(Cat_ChargesVAT,MATCH(tbl_Ledger[[#This Row],[Tax Category]],Cat_Codes,0))="No",0,tbl_Ledger[[#This Row],[Amount]]*NHIL_Rate)</f>
        <v>54.225000000000001</v>
      </c>
      <c r="M201" s="92">
        <f>IF(INDEX(Cat_ChargesVAT,MATCH(tbl_Ledger[[#This Row],[Tax Category]],Cat_Codes,0))="No",0,tbl_Ledger[[#This Row],[Amount]]*GETFund_Rate)</f>
        <v>54.225000000000001</v>
      </c>
      <c r="N201" s="92">
        <f>tbl_Ledger[[#This Row],[Expected VAT]]+tbl_Ledger[[#This Row],[Expected NHIL]]+tbl_Ledger[[#This Row],[Expected GETFund]]</f>
        <v>433.8</v>
      </c>
      <c r="O201" s="92">
        <f>tbl_Ledger[[#This Row],[Amount]]+tbl_Ledger[[#This Row],[Tax Charged on Invoice]]</f>
        <v>2602.8000000000002</v>
      </c>
    </row>
    <row r="202" spans="1:15" x14ac:dyDescent="0.3">
      <c r="A202" s="11"/>
      <c r="B202" s="93">
        <v>195</v>
      </c>
      <c r="C202" s="94">
        <v>46173</v>
      </c>
      <c r="D202" s="95" t="s">
        <v>590</v>
      </c>
      <c r="E202" s="95" t="s">
        <v>345</v>
      </c>
      <c r="F202" s="96" t="s">
        <v>201</v>
      </c>
      <c r="G202" s="96" t="s">
        <v>212</v>
      </c>
      <c r="H202" s="97">
        <v>109310</v>
      </c>
      <c r="I202" s="96" t="s">
        <v>591</v>
      </c>
      <c r="J202" s="97">
        <v>0</v>
      </c>
      <c r="K202" s="92">
        <f>IF(INDEX(Cat_ChargesVAT,MATCH(tbl_Ledger[[#This Row],[Tax Category]],Cat_Codes,0))="No",0,tbl_Ledger[[#This Row],[Amount]]*VAT_Rate)</f>
        <v>0</v>
      </c>
      <c r="L202" s="92">
        <f>IF(INDEX(Cat_ChargesVAT,MATCH(tbl_Ledger[[#This Row],[Tax Category]],Cat_Codes,0))="No",0,tbl_Ledger[[#This Row],[Amount]]*NHIL_Rate)</f>
        <v>0</v>
      </c>
      <c r="M202" s="92">
        <f>IF(INDEX(Cat_ChargesVAT,MATCH(tbl_Ledger[[#This Row],[Tax Category]],Cat_Codes,0))="No",0,tbl_Ledger[[#This Row],[Amount]]*GETFund_Rate)</f>
        <v>0</v>
      </c>
      <c r="N202" s="92">
        <f>tbl_Ledger[[#This Row],[Expected VAT]]+tbl_Ledger[[#This Row],[Expected NHIL]]+tbl_Ledger[[#This Row],[Expected GETFund]]</f>
        <v>0</v>
      </c>
      <c r="O202" s="92">
        <f>tbl_Ledger[[#This Row],[Amount]]+tbl_Ledger[[#This Row],[Tax Charged on Invoice]]</f>
        <v>109310</v>
      </c>
    </row>
    <row r="203" spans="1:15" x14ac:dyDescent="0.3">
      <c r="A203" s="11"/>
      <c r="B203" s="93">
        <v>196</v>
      </c>
      <c r="C203" s="94">
        <v>46174</v>
      </c>
      <c r="D203" s="95" t="s">
        <v>592</v>
      </c>
      <c r="E203" s="95" t="s">
        <v>268</v>
      </c>
      <c r="F203" s="96" t="s">
        <v>201</v>
      </c>
      <c r="G203" s="96" t="s">
        <v>205</v>
      </c>
      <c r="H203" s="97">
        <v>82182</v>
      </c>
      <c r="I203" s="96" t="s">
        <v>593</v>
      </c>
      <c r="J203" s="97">
        <v>0</v>
      </c>
      <c r="K203" s="92">
        <f>IF(INDEX(Cat_ChargesVAT,MATCH(tbl_Ledger[[#This Row],[Tax Category]],Cat_Codes,0))="No",0,tbl_Ledger[[#This Row],[Amount]]*VAT_Rate)</f>
        <v>0</v>
      </c>
      <c r="L203" s="92">
        <f>IF(INDEX(Cat_ChargesVAT,MATCH(tbl_Ledger[[#This Row],[Tax Category]],Cat_Codes,0))="No",0,tbl_Ledger[[#This Row],[Amount]]*NHIL_Rate)</f>
        <v>0</v>
      </c>
      <c r="M203" s="92">
        <f>IF(INDEX(Cat_ChargesVAT,MATCH(tbl_Ledger[[#This Row],[Tax Category]],Cat_Codes,0))="No",0,tbl_Ledger[[#This Row],[Amount]]*GETFund_Rate)</f>
        <v>0</v>
      </c>
      <c r="N203" s="92">
        <f>tbl_Ledger[[#This Row],[Expected VAT]]+tbl_Ledger[[#This Row],[Expected NHIL]]+tbl_Ledger[[#This Row],[Expected GETFund]]</f>
        <v>0</v>
      </c>
      <c r="O203" s="92">
        <f>tbl_Ledger[[#This Row],[Amount]]+tbl_Ledger[[#This Row],[Tax Charged on Invoice]]</f>
        <v>82182</v>
      </c>
    </row>
    <row r="204" spans="1:15" x14ac:dyDescent="0.3">
      <c r="A204" s="11"/>
      <c r="B204" s="93">
        <v>197</v>
      </c>
      <c r="C204" s="94">
        <v>46178</v>
      </c>
      <c r="D204" s="95" t="s">
        <v>472</v>
      </c>
      <c r="E204" s="95" t="s">
        <v>291</v>
      </c>
      <c r="F204" s="96" t="s">
        <v>201</v>
      </c>
      <c r="G204" s="96" t="s">
        <v>199</v>
      </c>
      <c r="H204" s="97">
        <v>2782</v>
      </c>
      <c r="I204" s="96" t="s">
        <v>448</v>
      </c>
      <c r="J204" s="97">
        <v>556.4</v>
      </c>
      <c r="K204" s="92">
        <f>IF(INDEX(Cat_ChargesVAT,MATCH(tbl_Ledger[[#This Row],[Tax Category]],Cat_Codes,0))="No",0,tbl_Ledger[[#This Row],[Amount]]*VAT_Rate)</f>
        <v>417.3</v>
      </c>
      <c r="L204" s="92">
        <f>IF(INDEX(Cat_ChargesVAT,MATCH(tbl_Ledger[[#This Row],[Tax Category]],Cat_Codes,0))="No",0,tbl_Ledger[[#This Row],[Amount]]*NHIL_Rate)</f>
        <v>69.55</v>
      </c>
      <c r="M204" s="92">
        <f>IF(INDEX(Cat_ChargesVAT,MATCH(tbl_Ledger[[#This Row],[Tax Category]],Cat_Codes,0))="No",0,tbl_Ledger[[#This Row],[Amount]]*GETFund_Rate)</f>
        <v>69.55</v>
      </c>
      <c r="N204" s="92">
        <f>tbl_Ledger[[#This Row],[Expected VAT]]+tbl_Ledger[[#This Row],[Expected NHIL]]+tbl_Ledger[[#This Row],[Expected GETFund]]</f>
        <v>556.4</v>
      </c>
      <c r="O204" s="92">
        <f>tbl_Ledger[[#This Row],[Amount]]+tbl_Ledger[[#This Row],[Tax Charged on Invoice]]</f>
        <v>3338.4</v>
      </c>
    </row>
    <row r="205" spans="1:15" x14ac:dyDescent="0.3">
      <c r="A205" s="11"/>
      <c r="B205" s="93">
        <v>198</v>
      </c>
      <c r="C205" s="94">
        <v>46178</v>
      </c>
      <c r="D205" s="95" t="s">
        <v>594</v>
      </c>
      <c r="E205" s="95" t="s">
        <v>250</v>
      </c>
      <c r="F205" s="96" t="s">
        <v>182</v>
      </c>
      <c r="G205" s="96" t="s">
        <v>179</v>
      </c>
      <c r="H205" s="97">
        <v>78985</v>
      </c>
      <c r="I205" s="96" t="s">
        <v>595</v>
      </c>
      <c r="J205" s="97">
        <v>15797</v>
      </c>
      <c r="K205" s="92">
        <f>IF(INDEX(Cat_ChargesVAT,MATCH(tbl_Ledger[[#This Row],[Tax Category]],Cat_Codes,0))="No",0,tbl_Ledger[[#This Row],[Amount]]*VAT_Rate)</f>
        <v>11847.75</v>
      </c>
      <c r="L205" s="92">
        <f>IF(INDEX(Cat_ChargesVAT,MATCH(tbl_Ledger[[#This Row],[Tax Category]],Cat_Codes,0))="No",0,tbl_Ledger[[#This Row],[Amount]]*NHIL_Rate)</f>
        <v>1974.625</v>
      </c>
      <c r="M205" s="92">
        <f>IF(INDEX(Cat_ChargesVAT,MATCH(tbl_Ledger[[#This Row],[Tax Category]],Cat_Codes,0))="No",0,tbl_Ledger[[#This Row],[Amount]]*GETFund_Rate)</f>
        <v>1974.625</v>
      </c>
      <c r="N205" s="92">
        <f>tbl_Ledger[[#This Row],[Expected VAT]]+tbl_Ledger[[#This Row],[Expected NHIL]]+tbl_Ledger[[#This Row],[Expected GETFund]]</f>
        <v>15797</v>
      </c>
      <c r="O205" s="92">
        <f>tbl_Ledger[[#This Row],[Amount]]+tbl_Ledger[[#This Row],[Tax Charged on Invoice]]</f>
        <v>94782</v>
      </c>
    </row>
    <row r="206" spans="1:15" x14ac:dyDescent="0.3">
      <c r="A206" s="11"/>
      <c r="B206" s="93">
        <v>199</v>
      </c>
      <c r="C206" s="94">
        <v>46181</v>
      </c>
      <c r="D206" s="95" t="s">
        <v>596</v>
      </c>
      <c r="E206" s="95" t="s">
        <v>268</v>
      </c>
      <c r="F206" s="96" t="s">
        <v>201</v>
      </c>
      <c r="G206" s="96" t="s">
        <v>205</v>
      </c>
      <c r="H206" s="97">
        <v>59860</v>
      </c>
      <c r="I206" s="96" t="s">
        <v>597</v>
      </c>
      <c r="J206" s="97">
        <v>0</v>
      </c>
      <c r="K206" s="92">
        <f>IF(INDEX(Cat_ChargesVAT,MATCH(tbl_Ledger[[#This Row],[Tax Category]],Cat_Codes,0))="No",0,tbl_Ledger[[#This Row],[Amount]]*VAT_Rate)</f>
        <v>0</v>
      </c>
      <c r="L206" s="92">
        <f>IF(INDEX(Cat_ChargesVAT,MATCH(tbl_Ledger[[#This Row],[Tax Category]],Cat_Codes,0))="No",0,tbl_Ledger[[#This Row],[Amount]]*NHIL_Rate)</f>
        <v>0</v>
      </c>
      <c r="M206" s="92">
        <f>IF(INDEX(Cat_ChargesVAT,MATCH(tbl_Ledger[[#This Row],[Tax Category]],Cat_Codes,0))="No",0,tbl_Ledger[[#This Row],[Amount]]*GETFund_Rate)</f>
        <v>0</v>
      </c>
      <c r="N206" s="92">
        <f>tbl_Ledger[[#This Row],[Expected VAT]]+tbl_Ledger[[#This Row],[Expected NHIL]]+tbl_Ledger[[#This Row],[Expected GETFund]]</f>
        <v>0</v>
      </c>
      <c r="O206" s="92">
        <f>tbl_Ledger[[#This Row],[Amount]]+tbl_Ledger[[#This Row],[Tax Charged on Invoice]]</f>
        <v>59860</v>
      </c>
    </row>
    <row r="207" spans="1:15" x14ac:dyDescent="0.3">
      <c r="A207" s="11"/>
      <c r="B207" s="93">
        <v>200</v>
      </c>
      <c r="C207" s="94">
        <v>46182</v>
      </c>
      <c r="D207" s="95" t="s">
        <v>342</v>
      </c>
      <c r="E207" s="95" t="s">
        <v>322</v>
      </c>
      <c r="F207" s="96" t="s">
        <v>201</v>
      </c>
      <c r="G207" s="96" t="s">
        <v>199</v>
      </c>
      <c r="H207" s="97">
        <v>9879</v>
      </c>
      <c r="I207" s="96" t="s">
        <v>598</v>
      </c>
      <c r="J207" s="97">
        <v>1975.8</v>
      </c>
      <c r="K207" s="92">
        <f>IF(INDEX(Cat_ChargesVAT,MATCH(tbl_Ledger[[#This Row],[Tax Category]],Cat_Codes,0))="No",0,tbl_Ledger[[#This Row],[Amount]]*VAT_Rate)</f>
        <v>1481.85</v>
      </c>
      <c r="L207" s="92">
        <f>IF(INDEX(Cat_ChargesVAT,MATCH(tbl_Ledger[[#This Row],[Tax Category]],Cat_Codes,0))="No",0,tbl_Ledger[[#This Row],[Amount]]*NHIL_Rate)</f>
        <v>246.97500000000002</v>
      </c>
      <c r="M207" s="92">
        <f>IF(INDEX(Cat_ChargesVAT,MATCH(tbl_Ledger[[#This Row],[Tax Category]],Cat_Codes,0))="No",0,tbl_Ledger[[#This Row],[Amount]]*GETFund_Rate)</f>
        <v>246.97500000000002</v>
      </c>
      <c r="N207" s="92">
        <f>tbl_Ledger[[#This Row],[Expected VAT]]+tbl_Ledger[[#This Row],[Expected NHIL]]+tbl_Ledger[[#This Row],[Expected GETFund]]</f>
        <v>1975.7999999999997</v>
      </c>
      <c r="O207" s="92">
        <f>tbl_Ledger[[#This Row],[Amount]]+tbl_Ledger[[#This Row],[Tax Charged on Invoice]]</f>
        <v>11854.8</v>
      </c>
    </row>
    <row r="208" spans="1:15" x14ac:dyDescent="0.3">
      <c r="A208" s="11"/>
      <c r="B208" s="93">
        <v>201</v>
      </c>
      <c r="C208" s="94">
        <v>46182</v>
      </c>
      <c r="D208" s="95" t="s">
        <v>558</v>
      </c>
      <c r="E208" s="95" t="s">
        <v>275</v>
      </c>
      <c r="F208" s="96" t="s">
        <v>201</v>
      </c>
      <c r="G208" s="96" t="s">
        <v>212</v>
      </c>
      <c r="H208" s="97">
        <v>94570</v>
      </c>
      <c r="I208" s="96" t="s">
        <v>599</v>
      </c>
      <c r="J208" s="97">
        <v>0</v>
      </c>
      <c r="K208" s="92">
        <f>IF(INDEX(Cat_ChargesVAT,MATCH(tbl_Ledger[[#This Row],[Tax Category]],Cat_Codes,0))="No",0,tbl_Ledger[[#This Row],[Amount]]*VAT_Rate)</f>
        <v>0</v>
      </c>
      <c r="L208" s="92">
        <f>IF(INDEX(Cat_ChargesVAT,MATCH(tbl_Ledger[[#This Row],[Tax Category]],Cat_Codes,0))="No",0,tbl_Ledger[[#This Row],[Amount]]*NHIL_Rate)</f>
        <v>0</v>
      </c>
      <c r="M208" s="92">
        <f>IF(INDEX(Cat_ChargesVAT,MATCH(tbl_Ledger[[#This Row],[Tax Category]],Cat_Codes,0))="No",0,tbl_Ledger[[#This Row],[Amount]]*GETFund_Rate)</f>
        <v>0</v>
      </c>
      <c r="N208" s="92">
        <f>tbl_Ledger[[#This Row],[Expected VAT]]+tbl_Ledger[[#This Row],[Expected NHIL]]+tbl_Ledger[[#This Row],[Expected GETFund]]</f>
        <v>0</v>
      </c>
      <c r="O208" s="92">
        <f>tbl_Ledger[[#This Row],[Amount]]+tbl_Ledger[[#This Row],[Tax Charged on Invoice]]</f>
        <v>94570</v>
      </c>
    </row>
    <row r="209" spans="1:15" x14ac:dyDescent="0.3">
      <c r="A209" s="11"/>
      <c r="B209" s="93">
        <v>202</v>
      </c>
      <c r="C209" s="94">
        <v>46185</v>
      </c>
      <c r="D209" s="95" t="s">
        <v>600</v>
      </c>
      <c r="E209" s="95" t="s">
        <v>275</v>
      </c>
      <c r="F209" s="96" t="s">
        <v>201</v>
      </c>
      <c r="G209" s="96" t="s">
        <v>212</v>
      </c>
      <c r="H209" s="97">
        <v>12734</v>
      </c>
      <c r="I209" s="96" t="s">
        <v>601</v>
      </c>
      <c r="J209" s="97">
        <v>0</v>
      </c>
      <c r="K209" s="92">
        <f>IF(INDEX(Cat_ChargesVAT,MATCH(tbl_Ledger[[#This Row],[Tax Category]],Cat_Codes,0))="No",0,tbl_Ledger[[#This Row],[Amount]]*VAT_Rate)</f>
        <v>0</v>
      </c>
      <c r="L209" s="92">
        <f>IF(INDEX(Cat_ChargesVAT,MATCH(tbl_Ledger[[#This Row],[Tax Category]],Cat_Codes,0))="No",0,tbl_Ledger[[#This Row],[Amount]]*NHIL_Rate)</f>
        <v>0</v>
      </c>
      <c r="M209" s="92">
        <f>IF(INDEX(Cat_ChargesVAT,MATCH(tbl_Ledger[[#This Row],[Tax Category]],Cat_Codes,0))="No",0,tbl_Ledger[[#This Row],[Amount]]*GETFund_Rate)</f>
        <v>0</v>
      </c>
      <c r="N209" s="92">
        <f>tbl_Ledger[[#This Row],[Expected VAT]]+tbl_Ledger[[#This Row],[Expected NHIL]]+tbl_Ledger[[#This Row],[Expected GETFund]]</f>
        <v>0</v>
      </c>
      <c r="O209" s="92">
        <f>tbl_Ledger[[#This Row],[Amount]]+tbl_Ledger[[#This Row],[Tax Charged on Invoice]]</f>
        <v>12734</v>
      </c>
    </row>
    <row r="210" spans="1:15" x14ac:dyDescent="0.3">
      <c r="A210" s="11"/>
      <c r="B210" s="93">
        <v>203</v>
      </c>
      <c r="C210" s="94">
        <v>46186</v>
      </c>
      <c r="D210" s="95" t="s">
        <v>602</v>
      </c>
      <c r="E210" s="95" t="s">
        <v>268</v>
      </c>
      <c r="F210" s="96" t="s">
        <v>201</v>
      </c>
      <c r="G210" s="96" t="s">
        <v>205</v>
      </c>
      <c r="H210" s="97">
        <v>57574</v>
      </c>
      <c r="I210" s="96" t="s">
        <v>603</v>
      </c>
      <c r="J210" s="97">
        <v>0</v>
      </c>
      <c r="K210" s="92">
        <f>IF(INDEX(Cat_ChargesVAT,MATCH(tbl_Ledger[[#This Row],[Tax Category]],Cat_Codes,0))="No",0,tbl_Ledger[[#This Row],[Amount]]*VAT_Rate)</f>
        <v>0</v>
      </c>
      <c r="L210" s="92">
        <f>IF(INDEX(Cat_ChargesVAT,MATCH(tbl_Ledger[[#This Row],[Tax Category]],Cat_Codes,0))="No",0,tbl_Ledger[[#This Row],[Amount]]*NHIL_Rate)</f>
        <v>0</v>
      </c>
      <c r="M210" s="92">
        <f>IF(INDEX(Cat_ChargesVAT,MATCH(tbl_Ledger[[#This Row],[Tax Category]],Cat_Codes,0))="No",0,tbl_Ledger[[#This Row],[Amount]]*GETFund_Rate)</f>
        <v>0</v>
      </c>
      <c r="N210" s="92">
        <f>tbl_Ledger[[#This Row],[Expected VAT]]+tbl_Ledger[[#This Row],[Expected NHIL]]+tbl_Ledger[[#This Row],[Expected GETFund]]</f>
        <v>0</v>
      </c>
      <c r="O210" s="92">
        <f>tbl_Ledger[[#This Row],[Amount]]+tbl_Ledger[[#This Row],[Tax Charged on Invoice]]</f>
        <v>57574</v>
      </c>
    </row>
    <row r="211" spans="1:15" x14ac:dyDescent="0.3">
      <c r="A211" s="11"/>
      <c r="B211" s="93">
        <v>204</v>
      </c>
      <c r="C211" s="94">
        <v>46186</v>
      </c>
      <c r="D211" s="95" t="s">
        <v>541</v>
      </c>
      <c r="E211" s="95" t="s">
        <v>322</v>
      </c>
      <c r="F211" s="96" t="s">
        <v>201</v>
      </c>
      <c r="G211" s="96" t="s">
        <v>199</v>
      </c>
      <c r="H211" s="97">
        <v>5321</v>
      </c>
      <c r="I211" s="96" t="s">
        <v>604</v>
      </c>
      <c r="J211" s="97">
        <v>1064.2</v>
      </c>
      <c r="K211" s="92">
        <f>IF(INDEX(Cat_ChargesVAT,MATCH(tbl_Ledger[[#This Row],[Tax Category]],Cat_Codes,0))="No",0,tbl_Ledger[[#This Row],[Amount]]*VAT_Rate)</f>
        <v>798.15</v>
      </c>
      <c r="L211" s="92">
        <f>IF(INDEX(Cat_ChargesVAT,MATCH(tbl_Ledger[[#This Row],[Tax Category]],Cat_Codes,0))="No",0,tbl_Ledger[[#This Row],[Amount]]*NHIL_Rate)</f>
        <v>133.02500000000001</v>
      </c>
      <c r="M211" s="92">
        <f>IF(INDEX(Cat_ChargesVAT,MATCH(tbl_Ledger[[#This Row],[Tax Category]],Cat_Codes,0))="No",0,tbl_Ledger[[#This Row],[Amount]]*GETFund_Rate)</f>
        <v>133.02500000000001</v>
      </c>
      <c r="N211" s="92">
        <f>tbl_Ledger[[#This Row],[Expected VAT]]+tbl_Ledger[[#This Row],[Expected NHIL]]+tbl_Ledger[[#This Row],[Expected GETFund]]</f>
        <v>1064.2</v>
      </c>
      <c r="O211" s="92">
        <f>tbl_Ledger[[#This Row],[Amount]]+tbl_Ledger[[#This Row],[Tax Charged on Invoice]]</f>
        <v>6385.2</v>
      </c>
    </row>
    <row r="212" spans="1:15" x14ac:dyDescent="0.3">
      <c r="A212" s="11"/>
      <c r="B212" s="93">
        <v>205</v>
      </c>
      <c r="C212" s="94">
        <v>46186</v>
      </c>
      <c r="D212" s="95" t="s">
        <v>605</v>
      </c>
      <c r="E212" s="95" t="s">
        <v>389</v>
      </c>
      <c r="F212" s="96" t="s">
        <v>182</v>
      </c>
      <c r="G212" s="96" t="s">
        <v>179</v>
      </c>
      <c r="H212" s="97">
        <v>64925</v>
      </c>
      <c r="I212" s="96" t="s">
        <v>606</v>
      </c>
      <c r="J212" s="97">
        <v>12985</v>
      </c>
      <c r="K212" s="92">
        <f>IF(INDEX(Cat_ChargesVAT,MATCH(tbl_Ledger[[#This Row],[Tax Category]],Cat_Codes,0))="No",0,tbl_Ledger[[#This Row],[Amount]]*VAT_Rate)</f>
        <v>9738.75</v>
      </c>
      <c r="L212" s="92">
        <f>IF(INDEX(Cat_ChargesVAT,MATCH(tbl_Ledger[[#This Row],[Tax Category]],Cat_Codes,0))="No",0,tbl_Ledger[[#This Row],[Amount]]*NHIL_Rate)</f>
        <v>1623.125</v>
      </c>
      <c r="M212" s="92">
        <f>IF(INDEX(Cat_ChargesVAT,MATCH(tbl_Ledger[[#This Row],[Tax Category]],Cat_Codes,0))="No",0,tbl_Ledger[[#This Row],[Amount]]*GETFund_Rate)</f>
        <v>1623.125</v>
      </c>
      <c r="N212" s="92">
        <f>tbl_Ledger[[#This Row],[Expected VAT]]+tbl_Ledger[[#This Row],[Expected NHIL]]+tbl_Ledger[[#This Row],[Expected GETFund]]</f>
        <v>12985</v>
      </c>
      <c r="O212" s="92">
        <f>tbl_Ledger[[#This Row],[Amount]]+tbl_Ledger[[#This Row],[Tax Charged on Invoice]]</f>
        <v>77910</v>
      </c>
    </row>
    <row r="213" spans="1:15" x14ac:dyDescent="0.3">
      <c r="A213" s="11"/>
      <c r="B213" s="93">
        <v>206</v>
      </c>
      <c r="C213" s="94">
        <v>46187</v>
      </c>
      <c r="D213" s="95" t="s">
        <v>507</v>
      </c>
      <c r="E213" s="95" t="s">
        <v>461</v>
      </c>
      <c r="F213" s="96" t="s">
        <v>201</v>
      </c>
      <c r="G213" s="96" t="s">
        <v>212</v>
      </c>
      <c r="H213" s="97">
        <v>94887</v>
      </c>
      <c r="I213" s="96" t="s">
        <v>607</v>
      </c>
      <c r="J213" s="97">
        <v>0</v>
      </c>
      <c r="K213" s="92">
        <f>IF(INDEX(Cat_ChargesVAT,MATCH(tbl_Ledger[[#This Row],[Tax Category]],Cat_Codes,0))="No",0,tbl_Ledger[[#This Row],[Amount]]*VAT_Rate)</f>
        <v>0</v>
      </c>
      <c r="L213" s="92">
        <f>IF(INDEX(Cat_ChargesVAT,MATCH(tbl_Ledger[[#This Row],[Tax Category]],Cat_Codes,0))="No",0,tbl_Ledger[[#This Row],[Amount]]*NHIL_Rate)</f>
        <v>0</v>
      </c>
      <c r="M213" s="92">
        <f>IF(INDEX(Cat_ChargesVAT,MATCH(tbl_Ledger[[#This Row],[Tax Category]],Cat_Codes,0))="No",0,tbl_Ledger[[#This Row],[Amount]]*GETFund_Rate)</f>
        <v>0</v>
      </c>
      <c r="N213" s="92">
        <f>tbl_Ledger[[#This Row],[Expected VAT]]+tbl_Ledger[[#This Row],[Expected NHIL]]+tbl_Ledger[[#This Row],[Expected GETFund]]</f>
        <v>0</v>
      </c>
      <c r="O213" s="92">
        <f>tbl_Ledger[[#This Row],[Amount]]+tbl_Ledger[[#This Row],[Tax Charged on Invoice]]</f>
        <v>94887</v>
      </c>
    </row>
    <row r="214" spans="1:15" x14ac:dyDescent="0.3">
      <c r="A214" s="11"/>
      <c r="B214" s="93">
        <v>207</v>
      </c>
      <c r="C214" s="94">
        <v>46188</v>
      </c>
      <c r="D214" s="95" t="s">
        <v>608</v>
      </c>
      <c r="E214" s="95" t="s">
        <v>278</v>
      </c>
      <c r="F214" s="96" t="s">
        <v>201</v>
      </c>
      <c r="G214" s="96" t="s">
        <v>212</v>
      </c>
      <c r="H214" s="97">
        <v>55769</v>
      </c>
      <c r="I214" s="96" t="s">
        <v>609</v>
      </c>
      <c r="J214" s="97">
        <v>0</v>
      </c>
      <c r="K214" s="92">
        <f>IF(INDEX(Cat_ChargesVAT,MATCH(tbl_Ledger[[#This Row],[Tax Category]],Cat_Codes,0))="No",0,tbl_Ledger[[#This Row],[Amount]]*VAT_Rate)</f>
        <v>0</v>
      </c>
      <c r="L214" s="92">
        <f>IF(INDEX(Cat_ChargesVAT,MATCH(tbl_Ledger[[#This Row],[Tax Category]],Cat_Codes,0))="No",0,tbl_Ledger[[#This Row],[Amount]]*NHIL_Rate)</f>
        <v>0</v>
      </c>
      <c r="M214" s="92">
        <f>IF(INDEX(Cat_ChargesVAT,MATCH(tbl_Ledger[[#This Row],[Tax Category]],Cat_Codes,0))="No",0,tbl_Ledger[[#This Row],[Amount]]*GETFund_Rate)</f>
        <v>0</v>
      </c>
      <c r="N214" s="92">
        <f>tbl_Ledger[[#This Row],[Expected VAT]]+tbl_Ledger[[#This Row],[Expected NHIL]]+tbl_Ledger[[#This Row],[Expected GETFund]]</f>
        <v>0</v>
      </c>
      <c r="O214" s="92">
        <f>tbl_Ledger[[#This Row],[Amount]]+tbl_Ledger[[#This Row],[Tax Charged on Invoice]]</f>
        <v>55769</v>
      </c>
    </row>
    <row r="215" spans="1:15" x14ac:dyDescent="0.3">
      <c r="A215" s="11"/>
      <c r="B215" s="93">
        <v>208</v>
      </c>
      <c r="C215" s="94">
        <v>46189</v>
      </c>
      <c r="D215" s="95" t="s">
        <v>610</v>
      </c>
      <c r="E215" s="95" t="s">
        <v>516</v>
      </c>
      <c r="F215" s="96" t="s">
        <v>182</v>
      </c>
      <c r="G215" s="96" t="s">
        <v>187</v>
      </c>
      <c r="H215" s="97">
        <v>72139</v>
      </c>
      <c r="I215" s="96" t="s">
        <v>611</v>
      </c>
      <c r="J215" s="97">
        <v>14427.8</v>
      </c>
      <c r="K215" s="92">
        <f>IF(INDEX(Cat_ChargesVAT,MATCH(tbl_Ledger[[#This Row],[Tax Category]],Cat_Codes,0))="No",0,tbl_Ledger[[#This Row],[Amount]]*VAT_Rate)</f>
        <v>10820.85</v>
      </c>
      <c r="L215" s="92">
        <f>IF(INDEX(Cat_ChargesVAT,MATCH(tbl_Ledger[[#This Row],[Tax Category]],Cat_Codes,0))="No",0,tbl_Ledger[[#This Row],[Amount]]*NHIL_Rate)</f>
        <v>1803.4750000000001</v>
      </c>
      <c r="M215" s="92">
        <f>IF(INDEX(Cat_ChargesVAT,MATCH(tbl_Ledger[[#This Row],[Tax Category]],Cat_Codes,0))="No",0,tbl_Ledger[[#This Row],[Amount]]*GETFund_Rate)</f>
        <v>1803.4750000000001</v>
      </c>
      <c r="N215" s="92">
        <f>tbl_Ledger[[#This Row],[Expected VAT]]+tbl_Ledger[[#This Row],[Expected NHIL]]+tbl_Ledger[[#This Row],[Expected GETFund]]</f>
        <v>14427.800000000001</v>
      </c>
      <c r="O215" s="92">
        <f>tbl_Ledger[[#This Row],[Amount]]+tbl_Ledger[[#This Row],[Tax Charged on Invoice]]</f>
        <v>86566.8</v>
      </c>
    </row>
    <row r="216" spans="1:15" x14ac:dyDescent="0.3">
      <c r="A216" s="11"/>
      <c r="B216" s="93">
        <v>209</v>
      </c>
      <c r="C216" s="94">
        <v>46190</v>
      </c>
      <c r="D216" s="95" t="s">
        <v>460</v>
      </c>
      <c r="E216" s="95" t="s">
        <v>275</v>
      </c>
      <c r="F216" s="96" t="s">
        <v>201</v>
      </c>
      <c r="G216" s="96" t="s">
        <v>212</v>
      </c>
      <c r="H216" s="97">
        <v>51124</v>
      </c>
      <c r="I216" s="96" t="s">
        <v>612</v>
      </c>
      <c r="J216" s="97">
        <v>0</v>
      </c>
      <c r="K216" s="92">
        <f>IF(INDEX(Cat_ChargesVAT,MATCH(tbl_Ledger[[#This Row],[Tax Category]],Cat_Codes,0))="No",0,tbl_Ledger[[#This Row],[Amount]]*VAT_Rate)</f>
        <v>0</v>
      </c>
      <c r="L216" s="92">
        <f>IF(INDEX(Cat_ChargesVAT,MATCH(tbl_Ledger[[#This Row],[Tax Category]],Cat_Codes,0))="No",0,tbl_Ledger[[#This Row],[Amount]]*NHIL_Rate)</f>
        <v>0</v>
      </c>
      <c r="M216" s="92">
        <f>IF(INDEX(Cat_ChargesVAT,MATCH(tbl_Ledger[[#This Row],[Tax Category]],Cat_Codes,0))="No",0,tbl_Ledger[[#This Row],[Amount]]*GETFund_Rate)</f>
        <v>0</v>
      </c>
      <c r="N216" s="92">
        <f>tbl_Ledger[[#This Row],[Expected VAT]]+tbl_Ledger[[#This Row],[Expected NHIL]]+tbl_Ledger[[#This Row],[Expected GETFund]]</f>
        <v>0</v>
      </c>
      <c r="O216" s="92">
        <f>tbl_Ledger[[#This Row],[Amount]]+tbl_Ledger[[#This Row],[Tax Charged on Invoice]]</f>
        <v>51124</v>
      </c>
    </row>
    <row r="217" spans="1:15" x14ac:dyDescent="0.3">
      <c r="A217" s="11"/>
      <c r="B217" s="93">
        <v>210</v>
      </c>
      <c r="C217" s="94">
        <v>46192</v>
      </c>
      <c r="D217" s="95" t="s">
        <v>613</v>
      </c>
      <c r="E217" s="95" t="s">
        <v>268</v>
      </c>
      <c r="F217" s="96" t="s">
        <v>201</v>
      </c>
      <c r="G217" s="96" t="s">
        <v>205</v>
      </c>
      <c r="H217" s="97">
        <v>59720</v>
      </c>
      <c r="I217" s="96" t="s">
        <v>614</v>
      </c>
      <c r="J217" s="97">
        <v>0</v>
      </c>
      <c r="K217" s="92">
        <f>IF(INDEX(Cat_ChargesVAT,MATCH(tbl_Ledger[[#This Row],[Tax Category]],Cat_Codes,0))="No",0,tbl_Ledger[[#This Row],[Amount]]*VAT_Rate)</f>
        <v>0</v>
      </c>
      <c r="L217" s="92">
        <f>IF(INDEX(Cat_ChargesVAT,MATCH(tbl_Ledger[[#This Row],[Tax Category]],Cat_Codes,0))="No",0,tbl_Ledger[[#This Row],[Amount]]*NHIL_Rate)</f>
        <v>0</v>
      </c>
      <c r="M217" s="92">
        <f>IF(INDEX(Cat_ChargesVAT,MATCH(tbl_Ledger[[#This Row],[Tax Category]],Cat_Codes,0))="No",0,tbl_Ledger[[#This Row],[Amount]]*GETFund_Rate)</f>
        <v>0</v>
      </c>
      <c r="N217" s="92">
        <f>tbl_Ledger[[#This Row],[Expected VAT]]+tbl_Ledger[[#This Row],[Expected NHIL]]+tbl_Ledger[[#This Row],[Expected GETFund]]</f>
        <v>0</v>
      </c>
      <c r="O217" s="92">
        <f>tbl_Ledger[[#This Row],[Amount]]+tbl_Ledger[[#This Row],[Tax Charged on Invoice]]</f>
        <v>59720</v>
      </c>
    </row>
    <row r="218" spans="1:15" x14ac:dyDescent="0.3">
      <c r="A218" s="11"/>
      <c r="B218" s="93">
        <v>211</v>
      </c>
      <c r="C218" s="94">
        <v>46192</v>
      </c>
      <c r="D218" s="95" t="s">
        <v>255</v>
      </c>
      <c r="E218" s="95" t="s">
        <v>412</v>
      </c>
      <c r="F218" s="96" t="s">
        <v>201</v>
      </c>
      <c r="G218" s="96" t="s">
        <v>199</v>
      </c>
      <c r="H218" s="97">
        <v>1213</v>
      </c>
      <c r="I218" s="96" t="s">
        <v>615</v>
      </c>
      <c r="J218" s="97">
        <v>242.6</v>
      </c>
      <c r="K218" s="92">
        <f>IF(INDEX(Cat_ChargesVAT,MATCH(tbl_Ledger[[#This Row],[Tax Category]],Cat_Codes,0))="No",0,tbl_Ledger[[#This Row],[Amount]]*VAT_Rate)</f>
        <v>181.95</v>
      </c>
      <c r="L218" s="92">
        <f>IF(INDEX(Cat_ChargesVAT,MATCH(tbl_Ledger[[#This Row],[Tax Category]],Cat_Codes,0))="No",0,tbl_Ledger[[#This Row],[Amount]]*NHIL_Rate)</f>
        <v>30.325000000000003</v>
      </c>
      <c r="M218" s="92">
        <f>IF(INDEX(Cat_ChargesVAT,MATCH(tbl_Ledger[[#This Row],[Tax Category]],Cat_Codes,0))="No",0,tbl_Ledger[[#This Row],[Amount]]*GETFund_Rate)</f>
        <v>30.325000000000003</v>
      </c>
      <c r="N218" s="92">
        <f>tbl_Ledger[[#This Row],[Expected VAT]]+tbl_Ledger[[#This Row],[Expected NHIL]]+tbl_Ledger[[#This Row],[Expected GETFund]]</f>
        <v>242.59999999999997</v>
      </c>
      <c r="O218" s="92">
        <f>tbl_Ledger[[#This Row],[Amount]]+tbl_Ledger[[#This Row],[Tax Charged on Invoice]]</f>
        <v>1455.6</v>
      </c>
    </row>
    <row r="219" spans="1:15" x14ac:dyDescent="0.3">
      <c r="A219" s="11"/>
      <c r="B219" s="93">
        <v>212</v>
      </c>
      <c r="C219" s="94">
        <v>46192</v>
      </c>
      <c r="D219" s="95" t="s">
        <v>616</v>
      </c>
      <c r="E219" s="95" t="s">
        <v>250</v>
      </c>
      <c r="F219" s="96" t="s">
        <v>182</v>
      </c>
      <c r="G219" s="96" t="s">
        <v>179</v>
      </c>
      <c r="H219" s="97">
        <v>47640</v>
      </c>
      <c r="I219" s="96" t="s">
        <v>617</v>
      </c>
      <c r="J219" s="97">
        <v>9528</v>
      </c>
      <c r="K219" s="92">
        <f>IF(INDEX(Cat_ChargesVAT,MATCH(tbl_Ledger[[#This Row],[Tax Category]],Cat_Codes,0))="No",0,tbl_Ledger[[#This Row],[Amount]]*VAT_Rate)</f>
        <v>7146</v>
      </c>
      <c r="L219" s="92">
        <f>IF(INDEX(Cat_ChargesVAT,MATCH(tbl_Ledger[[#This Row],[Tax Category]],Cat_Codes,0))="No",0,tbl_Ledger[[#This Row],[Amount]]*NHIL_Rate)</f>
        <v>1191</v>
      </c>
      <c r="M219" s="92">
        <f>IF(INDEX(Cat_ChargesVAT,MATCH(tbl_Ledger[[#This Row],[Tax Category]],Cat_Codes,0))="No",0,tbl_Ledger[[#This Row],[Amount]]*GETFund_Rate)</f>
        <v>1191</v>
      </c>
      <c r="N219" s="92">
        <f>tbl_Ledger[[#This Row],[Expected VAT]]+tbl_Ledger[[#This Row],[Expected NHIL]]+tbl_Ledger[[#This Row],[Expected GETFund]]</f>
        <v>9528</v>
      </c>
      <c r="O219" s="92">
        <f>tbl_Ledger[[#This Row],[Amount]]+tbl_Ledger[[#This Row],[Tax Charged on Invoice]]</f>
        <v>57168</v>
      </c>
    </row>
    <row r="220" spans="1:15" x14ac:dyDescent="0.3">
      <c r="A220" s="11"/>
      <c r="B220" s="93">
        <v>213</v>
      </c>
      <c r="C220" s="94">
        <v>46193</v>
      </c>
      <c r="D220" s="95" t="s">
        <v>618</v>
      </c>
      <c r="E220" s="95" t="s">
        <v>268</v>
      </c>
      <c r="F220" s="96" t="s">
        <v>201</v>
      </c>
      <c r="G220" s="96" t="s">
        <v>205</v>
      </c>
      <c r="H220" s="97">
        <v>83935</v>
      </c>
      <c r="I220" s="96" t="s">
        <v>619</v>
      </c>
      <c r="J220" s="97">
        <v>0</v>
      </c>
      <c r="K220" s="92">
        <f>IF(INDEX(Cat_ChargesVAT,MATCH(tbl_Ledger[[#This Row],[Tax Category]],Cat_Codes,0))="No",0,tbl_Ledger[[#This Row],[Amount]]*VAT_Rate)</f>
        <v>0</v>
      </c>
      <c r="L220" s="92">
        <f>IF(INDEX(Cat_ChargesVAT,MATCH(tbl_Ledger[[#This Row],[Tax Category]],Cat_Codes,0))="No",0,tbl_Ledger[[#This Row],[Amount]]*NHIL_Rate)</f>
        <v>0</v>
      </c>
      <c r="M220" s="92">
        <f>IF(INDEX(Cat_ChargesVAT,MATCH(tbl_Ledger[[#This Row],[Tax Category]],Cat_Codes,0))="No",0,tbl_Ledger[[#This Row],[Amount]]*GETFund_Rate)</f>
        <v>0</v>
      </c>
      <c r="N220" s="92">
        <f>tbl_Ledger[[#This Row],[Expected VAT]]+tbl_Ledger[[#This Row],[Expected NHIL]]+tbl_Ledger[[#This Row],[Expected GETFund]]</f>
        <v>0</v>
      </c>
      <c r="O220" s="92">
        <f>tbl_Ledger[[#This Row],[Amount]]+tbl_Ledger[[#This Row],[Tax Charged on Invoice]]</f>
        <v>83935</v>
      </c>
    </row>
    <row r="221" spans="1:15" x14ac:dyDescent="0.3">
      <c r="A221" s="11"/>
      <c r="B221" s="93">
        <v>214</v>
      </c>
      <c r="C221" s="94">
        <v>46193</v>
      </c>
      <c r="D221" s="95" t="s">
        <v>620</v>
      </c>
      <c r="E221" s="95" t="s">
        <v>253</v>
      </c>
      <c r="F221" s="96" t="s">
        <v>182</v>
      </c>
      <c r="G221" s="96" t="s">
        <v>179</v>
      </c>
      <c r="H221" s="97">
        <v>68744</v>
      </c>
      <c r="I221" s="96" t="s">
        <v>621</v>
      </c>
      <c r="J221" s="97">
        <v>13748.8</v>
      </c>
      <c r="K221" s="92">
        <f>IF(INDEX(Cat_ChargesVAT,MATCH(tbl_Ledger[[#This Row],[Tax Category]],Cat_Codes,0))="No",0,tbl_Ledger[[#This Row],[Amount]]*VAT_Rate)</f>
        <v>10311.6</v>
      </c>
      <c r="L221" s="92">
        <f>IF(INDEX(Cat_ChargesVAT,MATCH(tbl_Ledger[[#This Row],[Tax Category]],Cat_Codes,0))="No",0,tbl_Ledger[[#This Row],[Amount]]*NHIL_Rate)</f>
        <v>1718.6000000000001</v>
      </c>
      <c r="M221" s="92">
        <f>IF(INDEX(Cat_ChargesVAT,MATCH(tbl_Ledger[[#This Row],[Tax Category]],Cat_Codes,0))="No",0,tbl_Ledger[[#This Row],[Amount]]*GETFund_Rate)</f>
        <v>1718.6000000000001</v>
      </c>
      <c r="N221" s="92">
        <f>tbl_Ledger[[#This Row],[Expected VAT]]+tbl_Ledger[[#This Row],[Expected NHIL]]+tbl_Ledger[[#This Row],[Expected GETFund]]</f>
        <v>13748.800000000001</v>
      </c>
      <c r="O221" s="92">
        <f>tbl_Ledger[[#This Row],[Amount]]+tbl_Ledger[[#This Row],[Tax Charged on Invoice]]</f>
        <v>82492.800000000003</v>
      </c>
    </row>
    <row r="222" spans="1:15" x14ac:dyDescent="0.3">
      <c r="A222" s="11"/>
      <c r="B222" s="93">
        <v>215</v>
      </c>
      <c r="C222" s="94">
        <v>46194</v>
      </c>
      <c r="D222" s="95" t="s">
        <v>622</v>
      </c>
      <c r="E222" s="95" t="s">
        <v>261</v>
      </c>
      <c r="F222" s="96" t="s">
        <v>182</v>
      </c>
      <c r="G222" s="96" t="s">
        <v>179</v>
      </c>
      <c r="H222" s="97">
        <v>78023</v>
      </c>
      <c r="I222" s="96" t="s">
        <v>623</v>
      </c>
      <c r="J222" s="97">
        <v>15604.6</v>
      </c>
      <c r="K222" s="92">
        <f>IF(INDEX(Cat_ChargesVAT,MATCH(tbl_Ledger[[#This Row],[Tax Category]],Cat_Codes,0))="No",0,tbl_Ledger[[#This Row],[Amount]]*VAT_Rate)</f>
        <v>11703.449999999999</v>
      </c>
      <c r="L222" s="92">
        <f>IF(INDEX(Cat_ChargesVAT,MATCH(tbl_Ledger[[#This Row],[Tax Category]],Cat_Codes,0))="No",0,tbl_Ledger[[#This Row],[Amount]]*NHIL_Rate)</f>
        <v>1950.575</v>
      </c>
      <c r="M222" s="92">
        <f>IF(INDEX(Cat_ChargesVAT,MATCH(tbl_Ledger[[#This Row],[Tax Category]],Cat_Codes,0))="No",0,tbl_Ledger[[#This Row],[Amount]]*GETFund_Rate)</f>
        <v>1950.575</v>
      </c>
      <c r="N222" s="92">
        <f>tbl_Ledger[[#This Row],[Expected VAT]]+tbl_Ledger[[#This Row],[Expected NHIL]]+tbl_Ledger[[#This Row],[Expected GETFund]]</f>
        <v>15604.6</v>
      </c>
      <c r="O222" s="92">
        <f>tbl_Ledger[[#This Row],[Amount]]+tbl_Ledger[[#This Row],[Tax Charged on Invoice]]</f>
        <v>93627.6</v>
      </c>
    </row>
    <row r="223" spans="1:15" x14ac:dyDescent="0.3">
      <c r="A223" s="11"/>
      <c r="B223" s="93">
        <v>216</v>
      </c>
      <c r="C223" s="94">
        <v>46194</v>
      </c>
      <c r="D223" s="95" t="s">
        <v>312</v>
      </c>
      <c r="E223" s="95" t="s">
        <v>313</v>
      </c>
      <c r="F223" s="96" t="s">
        <v>182</v>
      </c>
      <c r="G223" s="96" t="s">
        <v>187</v>
      </c>
      <c r="H223" s="97">
        <v>101340</v>
      </c>
      <c r="I223" s="96" t="s">
        <v>569</v>
      </c>
      <c r="J223" s="97">
        <v>20268</v>
      </c>
      <c r="K223" s="92">
        <f>IF(INDEX(Cat_ChargesVAT,MATCH(tbl_Ledger[[#This Row],[Tax Category]],Cat_Codes,0))="No",0,tbl_Ledger[[#This Row],[Amount]]*VAT_Rate)</f>
        <v>15201</v>
      </c>
      <c r="L223" s="92">
        <f>IF(INDEX(Cat_ChargesVAT,MATCH(tbl_Ledger[[#This Row],[Tax Category]],Cat_Codes,0))="No",0,tbl_Ledger[[#This Row],[Amount]]*NHIL_Rate)</f>
        <v>2533.5</v>
      </c>
      <c r="M223" s="92">
        <f>IF(INDEX(Cat_ChargesVAT,MATCH(tbl_Ledger[[#This Row],[Tax Category]],Cat_Codes,0))="No",0,tbl_Ledger[[#This Row],[Amount]]*GETFund_Rate)</f>
        <v>2533.5</v>
      </c>
      <c r="N223" s="92">
        <f>tbl_Ledger[[#This Row],[Expected VAT]]+tbl_Ledger[[#This Row],[Expected NHIL]]+tbl_Ledger[[#This Row],[Expected GETFund]]</f>
        <v>20268</v>
      </c>
      <c r="O223" s="92">
        <f>tbl_Ledger[[#This Row],[Amount]]+tbl_Ledger[[#This Row],[Tax Charged on Invoice]]</f>
        <v>121608</v>
      </c>
    </row>
    <row r="224" spans="1:15" x14ac:dyDescent="0.3">
      <c r="A224" s="11"/>
      <c r="B224" s="93">
        <v>217</v>
      </c>
      <c r="C224" s="94">
        <v>46196</v>
      </c>
      <c r="D224" s="95" t="s">
        <v>370</v>
      </c>
      <c r="E224" s="95" t="s">
        <v>313</v>
      </c>
      <c r="F224" s="96" t="s">
        <v>182</v>
      </c>
      <c r="G224" s="96" t="s">
        <v>179</v>
      </c>
      <c r="H224" s="97">
        <v>88981</v>
      </c>
      <c r="I224" s="96" t="s">
        <v>624</v>
      </c>
      <c r="J224" s="97">
        <v>17796.2</v>
      </c>
      <c r="K224" s="92">
        <f>IF(INDEX(Cat_ChargesVAT,MATCH(tbl_Ledger[[#This Row],[Tax Category]],Cat_Codes,0))="No",0,tbl_Ledger[[#This Row],[Amount]]*VAT_Rate)</f>
        <v>13347.15</v>
      </c>
      <c r="L224" s="92">
        <f>IF(INDEX(Cat_ChargesVAT,MATCH(tbl_Ledger[[#This Row],[Tax Category]],Cat_Codes,0))="No",0,tbl_Ledger[[#This Row],[Amount]]*NHIL_Rate)</f>
        <v>2224.5250000000001</v>
      </c>
      <c r="M224" s="92">
        <f>IF(INDEX(Cat_ChargesVAT,MATCH(tbl_Ledger[[#This Row],[Tax Category]],Cat_Codes,0))="No",0,tbl_Ledger[[#This Row],[Amount]]*GETFund_Rate)</f>
        <v>2224.5250000000001</v>
      </c>
      <c r="N224" s="92">
        <f>tbl_Ledger[[#This Row],[Expected VAT]]+tbl_Ledger[[#This Row],[Expected NHIL]]+tbl_Ledger[[#This Row],[Expected GETFund]]</f>
        <v>17796.2</v>
      </c>
      <c r="O224" s="92">
        <f>tbl_Ledger[[#This Row],[Amount]]+tbl_Ledger[[#This Row],[Tax Charged on Invoice]]</f>
        <v>106777.2</v>
      </c>
    </row>
    <row r="225" spans="1:15" x14ac:dyDescent="0.3">
      <c r="A225" s="11"/>
      <c r="B225" s="93">
        <v>218</v>
      </c>
      <c r="C225" s="94">
        <v>46198</v>
      </c>
      <c r="D225" s="95" t="s">
        <v>317</v>
      </c>
      <c r="E225" s="95" t="s">
        <v>318</v>
      </c>
      <c r="F225" s="96" t="s">
        <v>201</v>
      </c>
      <c r="G225" s="96" t="s">
        <v>205</v>
      </c>
      <c r="H225" s="97">
        <v>400</v>
      </c>
      <c r="I225" s="96" t="s">
        <v>625</v>
      </c>
      <c r="J225" s="97">
        <v>0</v>
      </c>
      <c r="K225" s="92">
        <f>IF(INDEX(Cat_ChargesVAT,MATCH(tbl_Ledger[[#This Row],[Tax Category]],Cat_Codes,0))="No",0,tbl_Ledger[[#This Row],[Amount]]*VAT_Rate)</f>
        <v>0</v>
      </c>
      <c r="L225" s="92">
        <f>IF(INDEX(Cat_ChargesVAT,MATCH(tbl_Ledger[[#This Row],[Tax Category]],Cat_Codes,0))="No",0,tbl_Ledger[[#This Row],[Amount]]*NHIL_Rate)</f>
        <v>0</v>
      </c>
      <c r="M225" s="92">
        <f>IF(INDEX(Cat_ChargesVAT,MATCH(tbl_Ledger[[#This Row],[Tax Category]],Cat_Codes,0))="No",0,tbl_Ledger[[#This Row],[Amount]]*GETFund_Rate)</f>
        <v>0</v>
      </c>
      <c r="N225" s="92">
        <f>tbl_Ledger[[#This Row],[Expected VAT]]+tbl_Ledger[[#This Row],[Expected NHIL]]+tbl_Ledger[[#This Row],[Expected GETFund]]</f>
        <v>0</v>
      </c>
      <c r="O225" s="92">
        <f>tbl_Ledger[[#This Row],[Amount]]+tbl_Ledger[[#This Row],[Tax Charged on Invoice]]</f>
        <v>400</v>
      </c>
    </row>
    <row r="226" spans="1:15" x14ac:dyDescent="0.3">
      <c r="A226" s="11"/>
      <c r="B226" s="93">
        <v>219</v>
      </c>
      <c r="C226" s="94">
        <v>46198</v>
      </c>
      <c r="D226" s="95" t="s">
        <v>626</v>
      </c>
      <c r="E226" s="95" t="s">
        <v>268</v>
      </c>
      <c r="F226" s="96" t="s">
        <v>201</v>
      </c>
      <c r="G226" s="96" t="s">
        <v>205</v>
      </c>
      <c r="H226" s="97">
        <v>89846</v>
      </c>
      <c r="I226" s="96" t="s">
        <v>627</v>
      </c>
      <c r="J226" s="97">
        <v>0</v>
      </c>
      <c r="K226" s="92">
        <f>IF(INDEX(Cat_ChargesVAT,MATCH(tbl_Ledger[[#This Row],[Tax Category]],Cat_Codes,0))="No",0,tbl_Ledger[[#This Row],[Amount]]*VAT_Rate)</f>
        <v>0</v>
      </c>
      <c r="L226" s="92">
        <f>IF(INDEX(Cat_ChargesVAT,MATCH(tbl_Ledger[[#This Row],[Tax Category]],Cat_Codes,0))="No",0,tbl_Ledger[[#This Row],[Amount]]*NHIL_Rate)</f>
        <v>0</v>
      </c>
      <c r="M226" s="92">
        <f>IF(INDEX(Cat_ChargesVAT,MATCH(tbl_Ledger[[#This Row],[Tax Category]],Cat_Codes,0))="No",0,tbl_Ledger[[#This Row],[Amount]]*GETFund_Rate)</f>
        <v>0</v>
      </c>
      <c r="N226" s="92">
        <f>tbl_Ledger[[#This Row],[Expected VAT]]+tbl_Ledger[[#This Row],[Expected NHIL]]+tbl_Ledger[[#This Row],[Expected GETFund]]</f>
        <v>0</v>
      </c>
      <c r="O226" s="92">
        <f>tbl_Ledger[[#This Row],[Amount]]+tbl_Ledger[[#This Row],[Tax Charged on Invoice]]</f>
        <v>89846</v>
      </c>
    </row>
    <row r="227" spans="1:15" x14ac:dyDescent="0.3">
      <c r="A227" s="11"/>
      <c r="B227" s="93">
        <v>220</v>
      </c>
      <c r="C227" s="94">
        <v>46198</v>
      </c>
      <c r="D227" s="95" t="s">
        <v>628</v>
      </c>
      <c r="E227" s="95" t="s">
        <v>275</v>
      </c>
      <c r="F227" s="96" t="s">
        <v>201</v>
      </c>
      <c r="G227" s="96" t="s">
        <v>212</v>
      </c>
      <c r="H227" s="97">
        <v>11105</v>
      </c>
      <c r="I227" s="96" t="s">
        <v>629</v>
      </c>
      <c r="J227" s="97">
        <v>0</v>
      </c>
      <c r="K227" s="92">
        <f>IF(INDEX(Cat_ChargesVAT,MATCH(tbl_Ledger[[#This Row],[Tax Category]],Cat_Codes,0))="No",0,tbl_Ledger[[#This Row],[Amount]]*VAT_Rate)</f>
        <v>0</v>
      </c>
      <c r="L227" s="92">
        <f>IF(INDEX(Cat_ChargesVAT,MATCH(tbl_Ledger[[#This Row],[Tax Category]],Cat_Codes,0))="No",0,tbl_Ledger[[#This Row],[Amount]]*NHIL_Rate)</f>
        <v>0</v>
      </c>
      <c r="M227" s="92">
        <f>IF(INDEX(Cat_ChargesVAT,MATCH(tbl_Ledger[[#This Row],[Tax Category]],Cat_Codes,0))="No",0,tbl_Ledger[[#This Row],[Amount]]*GETFund_Rate)</f>
        <v>0</v>
      </c>
      <c r="N227" s="92">
        <f>tbl_Ledger[[#This Row],[Expected VAT]]+tbl_Ledger[[#This Row],[Expected NHIL]]+tbl_Ledger[[#This Row],[Expected GETFund]]</f>
        <v>0</v>
      </c>
      <c r="O227" s="92">
        <f>tbl_Ledger[[#This Row],[Amount]]+tbl_Ledger[[#This Row],[Tax Charged on Invoice]]</f>
        <v>11105</v>
      </c>
    </row>
    <row r="228" spans="1:15" x14ac:dyDescent="0.3">
      <c r="A228" s="11"/>
      <c r="B228" s="93">
        <v>221</v>
      </c>
      <c r="C228" s="94">
        <v>46200</v>
      </c>
      <c r="D228" s="95" t="s">
        <v>630</v>
      </c>
      <c r="E228" s="95" t="s">
        <v>268</v>
      </c>
      <c r="F228" s="96" t="s">
        <v>201</v>
      </c>
      <c r="G228" s="96" t="s">
        <v>205</v>
      </c>
      <c r="H228" s="97">
        <v>84205</v>
      </c>
      <c r="I228" s="96" t="s">
        <v>631</v>
      </c>
      <c r="J228" s="97">
        <v>0</v>
      </c>
      <c r="K228" s="92">
        <f>IF(INDEX(Cat_ChargesVAT,MATCH(tbl_Ledger[[#This Row],[Tax Category]],Cat_Codes,0))="No",0,tbl_Ledger[[#This Row],[Amount]]*VAT_Rate)</f>
        <v>0</v>
      </c>
      <c r="L228" s="92">
        <f>IF(INDEX(Cat_ChargesVAT,MATCH(tbl_Ledger[[#This Row],[Tax Category]],Cat_Codes,0))="No",0,tbl_Ledger[[#This Row],[Amount]]*NHIL_Rate)</f>
        <v>0</v>
      </c>
      <c r="M228" s="92">
        <f>IF(INDEX(Cat_ChargesVAT,MATCH(tbl_Ledger[[#This Row],[Tax Category]],Cat_Codes,0))="No",0,tbl_Ledger[[#This Row],[Amount]]*GETFund_Rate)</f>
        <v>0</v>
      </c>
      <c r="N228" s="92">
        <f>tbl_Ledger[[#This Row],[Expected VAT]]+tbl_Ledger[[#This Row],[Expected NHIL]]+tbl_Ledger[[#This Row],[Expected GETFund]]</f>
        <v>0</v>
      </c>
      <c r="O228" s="92">
        <f>tbl_Ledger[[#This Row],[Amount]]+tbl_Ledger[[#This Row],[Tax Charged on Invoice]]</f>
        <v>84205</v>
      </c>
    </row>
    <row r="229" spans="1:15" x14ac:dyDescent="0.3">
      <c r="A229" s="11"/>
      <c r="B229" s="93">
        <v>222</v>
      </c>
      <c r="C229" s="94">
        <v>46200</v>
      </c>
      <c r="D229" s="95" t="s">
        <v>263</v>
      </c>
      <c r="E229" s="95" t="s">
        <v>516</v>
      </c>
      <c r="F229" s="96" t="s">
        <v>182</v>
      </c>
      <c r="G229" s="96" t="s">
        <v>187</v>
      </c>
      <c r="H229" s="97">
        <v>49661</v>
      </c>
      <c r="I229" s="96" t="s">
        <v>632</v>
      </c>
      <c r="J229" s="97">
        <v>9932.2000000000007</v>
      </c>
      <c r="K229" s="92">
        <f>IF(INDEX(Cat_ChargesVAT,MATCH(tbl_Ledger[[#This Row],[Tax Category]],Cat_Codes,0))="No",0,tbl_Ledger[[#This Row],[Amount]]*VAT_Rate)</f>
        <v>7449.15</v>
      </c>
      <c r="L229" s="92">
        <f>IF(INDEX(Cat_ChargesVAT,MATCH(tbl_Ledger[[#This Row],[Tax Category]],Cat_Codes,0))="No",0,tbl_Ledger[[#This Row],[Amount]]*NHIL_Rate)</f>
        <v>1241.5250000000001</v>
      </c>
      <c r="M229" s="92">
        <f>IF(INDEX(Cat_ChargesVAT,MATCH(tbl_Ledger[[#This Row],[Tax Category]],Cat_Codes,0))="No",0,tbl_Ledger[[#This Row],[Amount]]*GETFund_Rate)</f>
        <v>1241.5250000000001</v>
      </c>
      <c r="N229" s="92">
        <f>tbl_Ledger[[#This Row],[Expected VAT]]+tbl_Ledger[[#This Row],[Expected NHIL]]+tbl_Ledger[[#This Row],[Expected GETFund]]</f>
        <v>9932.1999999999989</v>
      </c>
      <c r="O229" s="92">
        <f>tbl_Ledger[[#This Row],[Amount]]+tbl_Ledger[[#This Row],[Tax Charged on Invoice]]</f>
        <v>59593.2</v>
      </c>
    </row>
    <row r="230" spans="1:15" x14ac:dyDescent="0.3">
      <c r="A230" s="11"/>
      <c r="B230" s="93">
        <v>223</v>
      </c>
      <c r="C230" s="94">
        <v>46201</v>
      </c>
      <c r="D230" s="95" t="s">
        <v>633</v>
      </c>
      <c r="E230" s="95" t="s">
        <v>268</v>
      </c>
      <c r="F230" s="96" t="s">
        <v>201</v>
      </c>
      <c r="G230" s="96" t="s">
        <v>205</v>
      </c>
      <c r="H230" s="97">
        <v>64308</v>
      </c>
      <c r="I230" s="96" t="s">
        <v>634</v>
      </c>
      <c r="J230" s="97">
        <v>0</v>
      </c>
      <c r="K230" s="92">
        <f>IF(INDEX(Cat_ChargesVAT,MATCH(tbl_Ledger[[#This Row],[Tax Category]],Cat_Codes,0))="No",0,tbl_Ledger[[#This Row],[Amount]]*VAT_Rate)</f>
        <v>0</v>
      </c>
      <c r="L230" s="92">
        <f>IF(INDEX(Cat_ChargesVAT,MATCH(tbl_Ledger[[#This Row],[Tax Category]],Cat_Codes,0))="No",0,tbl_Ledger[[#This Row],[Amount]]*NHIL_Rate)</f>
        <v>0</v>
      </c>
      <c r="M230" s="92">
        <f>IF(INDEX(Cat_ChargesVAT,MATCH(tbl_Ledger[[#This Row],[Tax Category]],Cat_Codes,0))="No",0,tbl_Ledger[[#This Row],[Amount]]*GETFund_Rate)</f>
        <v>0</v>
      </c>
      <c r="N230" s="92">
        <f>tbl_Ledger[[#This Row],[Expected VAT]]+tbl_Ledger[[#This Row],[Expected NHIL]]+tbl_Ledger[[#This Row],[Expected GETFund]]</f>
        <v>0</v>
      </c>
      <c r="O230" s="92">
        <f>tbl_Ledger[[#This Row],[Amount]]+tbl_Ledger[[#This Row],[Tax Charged on Invoice]]</f>
        <v>64308</v>
      </c>
    </row>
    <row r="231" spans="1:15" x14ac:dyDescent="0.3">
      <c r="A231" s="11"/>
      <c r="B231" s="93">
        <v>224</v>
      </c>
      <c r="C231" s="94">
        <v>46202</v>
      </c>
      <c r="D231" s="95" t="s">
        <v>440</v>
      </c>
      <c r="E231" s="95" t="s">
        <v>307</v>
      </c>
      <c r="F231" s="96" t="s">
        <v>201</v>
      </c>
      <c r="G231" s="96" t="s">
        <v>219</v>
      </c>
      <c r="H231" s="97">
        <v>4731</v>
      </c>
      <c r="I231" s="96" t="s">
        <v>635</v>
      </c>
      <c r="J231" s="97">
        <v>946.2</v>
      </c>
      <c r="K231" s="92">
        <f>IF(INDEX(Cat_ChargesVAT,MATCH(tbl_Ledger[[#This Row],[Tax Category]],Cat_Codes,0))="No",0,tbl_Ledger[[#This Row],[Amount]]*VAT_Rate)</f>
        <v>709.65</v>
      </c>
      <c r="L231" s="92">
        <f>IF(INDEX(Cat_ChargesVAT,MATCH(tbl_Ledger[[#This Row],[Tax Category]],Cat_Codes,0))="No",0,tbl_Ledger[[#This Row],[Amount]]*NHIL_Rate)</f>
        <v>118.27500000000001</v>
      </c>
      <c r="M231" s="92">
        <f>IF(INDEX(Cat_ChargesVAT,MATCH(tbl_Ledger[[#This Row],[Tax Category]],Cat_Codes,0))="No",0,tbl_Ledger[[#This Row],[Amount]]*GETFund_Rate)</f>
        <v>118.27500000000001</v>
      </c>
      <c r="N231" s="92">
        <f>tbl_Ledger[[#This Row],[Expected VAT]]+tbl_Ledger[[#This Row],[Expected NHIL]]+tbl_Ledger[[#This Row],[Expected GETFund]]</f>
        <v>946.19999999999993</v>
      </c>
      <c r="O231" s="92">
        <f>tbl_Ledger[[#This Row],[Amount]]+tbl_Ledger[[#This Row],[Tax Charged on Invoice]]</f>
        <v>5677.2</v>
      </c>
    </row>
    <row r="232" spans="1:15" x14ac:dyDescent="0.3">
      <c r="A232" s="11"/>
      <c r="B232" s="93">
        <v>225</v>
      </c>
      <c r="C232" s="94">
        <v>46202</v>
      </c>
      <c r="D232" s="95" t="s">
        <v>636</v>
      </c>
      <c r="E232" s="95" t="s">
        <v>345</v>
      </c>
      <c r="F232" s="96" t="s">
        <v>201</v>
      </c>
      <c r="G232" s="96" t="s">
        <v>199</v>
      </c>
      <c r="H232" s="97">
        <v>68300</v>
      </c>
      <c r="I232" s="96" t="s">
        <v>637</v>
      </c>
      <c r="J232" s="97">
        <v>13660</v>
      </c>
      <c r="K232" s="92">
        <f>IF(INDEX(Cat_ChargesVAT,MATCH(tbl_Ledger[[#This Row],[Tax Category]],Cat_Codes,0))="No",0,tbl_Ledger[[#This Row],[Amount]]*VAT_Rate)</f>
        <v>10245</v>
      </c>
      <c r="L232" s="92">
        <f>IF(INDEX(Cat_ChargesVAT,MATCH(tbl_Ledger[[#This Row],[Tax Category]],Cat_Codes,0))="No",0,tbl_Ledger[[#This Row],[Amount]]*NHIL_Rate)</f>
        <v>1707.5</v>
      </c>
      <c r="M232" s="92">
        <f>IF(INDEX(Cat_ChargesVAT,MATCH(tbl_Ledger[[#This Row],[Tax Category]],Cat_Codes,0))="No",0,tbl_Ledger[[#This Row],[Amount]]*GETFund_Rate)</f>
        <v>1707.5</v>
      </c>
      <c r="N232" s="92">
        <f>tbl_Ledger[[#This Row],[Expected VAT]]+tbl_Ledger[[#This Row],[Expected NHIL]]+tbl_Ledger[[#This Row],[Expected GETFund]]</f>
        <v>13660</v>
      </c>
      <c r="O232" s="92">
        <f>tbl_Ledger[[#This Row],[Amount]]+tbl_Ledger[[#This Row],[Tax Charged on Invoice]]</f>
        <v>81960</v>
      </c>
    </row>
    <row r="233" spans="1:15" x14ac:dyDescent="0.3">
      <c r="A233" s="11"/>
      <c r="B233" s="93">
        <v>226</v>
      </c>
      <c r="C233" s="94">
        <v>46203</v>
      </c>
      <c r="D233" s="95" t="s">
        <v>638</v>
      </c>
      <c r="E233" s="95" t="s">
        <v>345</v>
      </c>
      <c r="F233" s="96" t="s">
        <v>201</v>
      </c>
      <c r="G233" s="96" t="s">
        <v>212</v>
      </c>
      <c r="H233" s="97">
        <v>101121</v>
      </c>
      <c r="I233" s="96" t="s">
        <v>639</v>
      </c>
      <c r="J233" s="97">
        <v>0</v>
      </c>
      <c r="K233" s="92">
        <f>IF(INDEX(Cat_ChargesVAT,MATCH(tbl_Ledger[[#This Row],[Tax Category]],Cat_Codes,0))="No",0,tbl_Ledger[[#This Row],[Amount]]*VAT_Rate)</f>
        <v>0</v>
      </c>
      <c r="L233" s="92">
        <f>IF(INDEX(Cat_ChargesVAT,MATCH(tbl_Ledger[[#This Row],[Tax Category]],Cat_Codes,0))="No",0,tbl_Ledger[[#This Row],[Amount]]*NHIL_Rate)</f>
        <v>0</v>
      </c>
      <c r="M233" s="92">
        <f>IF(INDEX(Cat_ChargesVAT,MATCH(tbl_Ledger[[#This Row],[Tax Category]],Cat_Codes,0))="No",0,tbl_Ledger[[#This Row],[Amount]]*GETFund_Rate)</f>
        <v>0</v>
      </c>
      <c r="N233" s="92">
        <f>tbl_Ledger[[#This Row],[Expected VAT]]+tbl_Ledger[[#This Row],[Expected NHIL]]+tbl_Ledger[[#This Row],[Expected GETFund]]</f>
        <v>0</v>
      </c>
      <c r="O233" s="92">
        <f>tbl_Ledger[[#This Row],[Amount]]+tbl_Ledger[[#This Row],[Tax Charged on Invoice]]</f>
        <v>101121</v>
      </c>
    </row>
    <row r="234" spans="1:15" x14ac:dyDescent="0.3">
      <c r="A234" s="11"/>
      <c r="B234" s="93">
        <v>227</v>
      </c>
      <c r="C234" s="94">
        <v>46203</v>
      </c>
      <c r="D234" s="95" t="s">
        <v>640</v>
      </c>
      <c r="E234" s="95" t="s">
        <v>261</v>
      </c>
      <c r="F234" s="96" t="s">
        <v>182</v>
      </c>
      <c r="G234" s="96" t="s">
        <v>179</v>
      </c>
      <c r="H234" s="97">
        <v>85959</v>
      </c>
      <c r="I234" s="96" t="s">
        <v>641</v>
      </c>
      <c r="J234" s="97">
        <v>17191.8</v>
      </c>
      <c r="K234" s="92">
        <f>IF(INDEX(Cat_ChargesVAT,MATCH(tbl_Ledger[[#This Row],[Tax Category]],Cat_Codes,0))="No",0,tbl_Ledger[[#This Row],[Amount]]*VAT_Rate)</f>
        <v>12893.85</v>
      </c>
      <c r="L234" s="92">
        <f>IF(INDEX(Cat_ChargesVAT,MATCH(tbl_Ledger[[#This Row],[Tax Category]],Cat_Codes,0))="No",0,tbl_Ledger[[#This Row],[Amount]]*NHIL_Rate)</f>
        <v>2148.9749999999999</v>
      </c>
      <c r="M234" s="92">
        <f>IF(INDEX(Cat_ChargesVAT,MATCH(tbl_Ledger[[#This Row],[Tax Category]],Cat_Codes,0))="No",0,tbl_Ledger[[#This Row],[Amount]]*GETFund_Rate)</f>
        <v>2148.9749999999999</v>
      </c>
      <c r="N234" s="92">
        <f>tbl_Ledger[[#This Row],[Expected VAT]]+tbl_Ledger[[#This Row],[Expected NHIL]]+tbl_Ledger[[#This Row],[Expected GETFund]]</f>
        <v>17191.8</v>
      </c>
      <c r="O234" s="92">
        <f>tbl_Ledger[[#This Row],[Amount]]+tbl_Ledger[[#This Row],[Tax Charged on Invoice]]</f>
        <v>103150.8</v>
      </c>
    </row>
    <row r="235" spans="1:15" x14ac:dyDescent="0.3">
      <c r="A235" s="11"/>
      <c r="B235" s="93">
        <v>228</v>
      </c>
      <c r="C235" s="94">
        <v>46204</v>
      </c>
      <c r="D235" s="95" t="s">
        <v>309</v>
      </c>
      <c r="E235" s="95" t="s">
        <v>256</v>
      </c>
      <c r="F235" s="96" t="s">
        <v>201</v>
      </c>
      <c r="G235" s="96" t="s">
        <v>199</v>
      </c>
      <c r="H235" s="97">
        <v>4349</v>
      </c>
      <c r="I235" s="96" t="s">
        <v>642</v>
      </c>
      <c r="J235" s="97">
        <v>869.8</v>
      </c>
      <c r="K235" s="92">
        <f>IF(INDEX(Cat_ChargesVAT,MATCH(tbl_Ledger[[#This Row],[Tax Category]],Cat_Codes,0))="No",0,tbl_Ledger[[#This Row],[Amount]]*VAT_Rate)</f>
        <v>652.35</v>
      </c>
      <c r="L235" s="92">
        <f>IF(INDEX(Cat_ChargesVAT,MATCH(tbl_Ledger[[#This Row],[Tax Category]],Cat_Codes,0))="No",0,tbl_Ledger[[#This Row],[Amount]]*NHIL_Rate)</f>
        <v>108.72500000000001</v>
      </c>
      <c r="M235" s="92">
        <f>IF(INDEX(Cat_ChargesVAT,MATCH(tbl_Ledger[[#This Row],[Tax Category]],Cat_Codes,0))="No",0,tbl_Ledger[[#This Row],[Amount]]*GETFund_Rate)</f>
        <v>108.72500000000001</v>
      </c>
      <c r="N235" s="92">
        <f>tbl_Ledger[[#This Row],[Expected VAT]]+tbl_Ledger[[#This Row],[Expected NHIL]]+tbl_Ledger[[#This Row],[Expected GETFund]]</f>
        <v>869.80000000000007</v>
      </c>
      <c r="O235" s="92">
        <f>tbl_Ledger[[#This Row],[Amount]]+tbl_Ledger[[#This Row],[Tax Charged on Invoice]]</f>
        <v>5218.8</v>
      </c>
    </row>
    <row r="236" spans="1:15" x14ac:dyDescent="0.3">
      <c r="A236" s="11"/>
      <c r="B236" s="93">
        <v>229</v>
      </c>
      <c r="C236" s="94">
        <v>46204</v>
      </c>
      <c r="D236" s="95" t="s">
        <v>643</v>
      </c>
      <c r="E236" s="95" t="s">
        <v>313</v>
      </c>
      <c r="F236" s="96" t="s">
        <v>182</v>
      </c>
      <c r="G236" s="96" t="s">
        <v>179</v>
      </c>
      <c r="H236" s="97">
        <v>64387</v>
      </c>
      <c r="I236" s="96" t="s">
        <v>644</v>
      </c>
      <c r="J236" s="97">
        <v>12877.4</v>
      </c>
      <c r="K236" s="92">
        <f>IF(INDEX(Cat_ChargesVAT,MATCH(tbl_Ledger[[#This Row],[Tax Category]],Cat_Codes,0))="No",0,tbl_Ledger[[#This Row],[Amount]]*VAT_Rate)</f>
        <v>9658.0499999999993</v>
      </c>
      <c r="L236" s="92">
        <f>IF(INDEX(Cat_ChargesVAT,MATCH(tbl_Ledger[[#This Row],[Tax Category]],Cat_Codes,0))="No",0,tbl_Ledger[[#This Row],[Amount]]*NHIL_Rate)</f>
        <v>1609.6750000000002</v>
      </c>
      <c r="M236" s="92">
        <f>IF(INDEX(Cat_ChargesVAT,MATCH(tbl_Ledger[[#This Row],[Tax Category]],Cat_Codes,0))="No",0,tbl_Ledger[[#This Row],[Amount]]*GETFund_Rate)</f>
        <v>1609.6750000000002</v>
      </c>
      <c r="N236" s="92">
        <f>tbl_Ledger[[#This Row],[Expected VAT]]+tbl_Ledger[[#This Row],[Expected NHIL]]+tbl_Ledger[[#This Row],[Expected GETFund]]</f>
        <v>12877.399999999998</v>
      </c>
      <c r="O236" s="92">
        <f>tbl_Ledger[[#This Row],[Amount]]+tbl_Ledger[[#This Row],[Tax Charged on Invoice]]</f>
        <v>77264.399999999994</v>
      </c>
    </row>
    <row r="237" spans="1:15" x14ac:dyDescent="0.3">
      <c r="A237" s="11"/>
      <c r="B237" s="93">
        <v>230</v>
      </c>
      <c r="C237" s="94">
        <v>46207</v>
      </c>
      <c r="D237" s="95" t="s">
        <v>386</v>
      </c>
      <c r="E237" s="95" t="s">
        <v>453</v>
      </c>
      <c r="F237" s="96" t="s">
        <v>201</v>
      </c>
      <c r="G237" s="96" t="s">
        <v>205</v>
      </c>
      <c r="H237" s="97">
        <v>24963</v>
      </c>
      <c r="I237" s="96" t="s">
        <v>645</v>
      </c>
      <c r="J237" s="97">
        <v>0</v>
      </c>
      <c r="K237" s="92">
        <f>IF(INDEX(Cat_ChargesVAT,MATCH(tbl_Ledger[[#This Row],[Tax Category]],Cat_Codes,0))="No",0,tbl_Ledger[[#This Row],[Amount]]*VAT_Rate)</f>
        <v>0</v>
      </c>
      <c r="L237" s="92">
        <f>IF(INDEX(Cat_ChargesVAT,MATCH(tbl_Ledger[[#This Row],[Tax Category]],Cat_Codes,0))="No",0,tbl_Ledger[[#This Row],[Amount]]*NHIL_Rate)</f>
        <v>0</v>
      </c>
      <c r="M237" s="92">
        <f>IF(INDEX(Cat_ChargesVAT,MATCH(tbl_Ledger[[#This Row],[Tax Category]],Cat_Codes,0))="No",0,tbl_Ledger[[#This Row],[Amount]]*GETFund_Rate)</f>
        <v>0</v>
      </c>
      <c r="N237" s="92">
        <f>tbl_Ledger[[#This Row],[Expected VAT]]+tbl_Ledger[[#This Row],[Expected NHIL]]+tbl_Ledger[[#This Row],[Expected GETFund]]</f>
        <v>0</v>
      </c>
      <c r="O237" s="92">
        <f>tbl_Ledger[[#This Row],[Amount]]+tbl_Ledger[[#This Row],[Tax Charged on Invoice]]</f>
        <v>24963</v>
      </c>
    </row>
    <row r="238" spans="1:15" x14ac:dyDescent="0.3">
      <c r="A238" s="11"/>
      <c r="B238" s="93">
        <v>231</v>
      </c>
      <c r="C238" s="94">
        <v>46207</v>
      </c>
      <c r="D238" s="95" t="s">
        <v>646</v>
      </c>
      <c r="E238" s="95" t="s">
        <v>250</v>
      </c>
      <c r="F238" s="96" t="s">
        <v>182</v>
      </c>
      <c r="G238" s="96" t="s">
        <v>179</v>
      </c>
      <c r="H238" s="97">
        <v>67888</v>
      </c>
      <c r="I238" s="96" t="s">
        <v>647</v>
      </c>
      <c r="J238" s="97">
        <v>13577.6</v>
      </c>
      <c r="K238" s="92">
        <f>IF(INDEX(Cat_ChargesVAT,MATCH(tbl_Ledger[[#This Row],[Tax Category]],Cat_Codes,0))="No",0,tbl_Ledger[[#This Row],[Amount]]*VAT_Rate)</f>
        <v>10183.199999999999</v>
      </c>
      <c r="L238" s="92">
        <f>IF(INDEX(Cat_ChargesVAT,MATCH(tbl_Ledger[[#This Row],[Tax Category]],Cat_Codes,0))="No",0,tbl_Ledger[[#This Row],[Amount]]*NHIL_Rate)</f>
        <v>1697.2</v>
      </c>
      <c r="M238" s="92">
        <f>IF(INDEX(Cat_ChargesVAT,MATCH(tbl_Ledger[[#This Row],[Tax Category]],Cat_Codes,0))="No",0,tbl_Ledger[[#This Row],[Amount]]*GETFund_Rate)</f>
        <v>1697.2</v>
      </c>
      <c r="N238" s="92">
        <f>tbl_Ledger[[#This Row],[Expected VAT]]+tbl_Ledger[[#This Row],[Expected NHIL]]+tbl_Ledger[[#This Row],[Expected GETFund]]</f>
        <v>13577.6</v>
      </c>
      <c r="O238" s="92">
        <f>tbl_Ledger[[#This Row],[Amount]]+tbl_Ledger[[#This Row],[Tax Charged on Invoice]]</f>
        <v>81465.600000000006</v>
      </c>
    </row>
    <row r="239" spans="1:15" x14ac:dyDescent="0.3">
      <c r="A239" s="11"/>
      <c r="B239" s="93">
        <v>232</v>
      </c>
      <c r="C239" s="94">
        <v>46208</v>
      </c>
      <c r="D239" s="95" t="s">
        <v>255</v>
      </c>
      <c r="E239" s="95" t="s">
        <v>429</v>
      </c>
      <c r="F239" s="96" t="s">
        <v>201</v>
      </c>
      <c r="G239" s="96" t="s">
        <v>199</v>
      </c>
      <c r="H239" s="97">
        <v>3866</v>
      </c>
      <c r="I239" s="96" t="s">
        <v>648</v>
      </c>
      <c r="J239" s="97">
        <v>773.2</v>
      </c>
      <c r="K239" s="92">
        <f>IF(INDEX(Cat_ChargesVAT,MATCH(tbl_Ledger[[#This Row],[Tax Category]],Cat_Codes,0))="No",0,tbl_Ledger[[#This Row],[Amount]]*VAT_Rate)</f>
        <v>579.9</v>
      </c>
      <c r="L239" s="92">
        <f>IF(INDEX(Cat_ChargesVAT,MATCH(tbl_Ledger[[#This Row],[Tax Category]],Cat_Codes,0))="No",0,tbl_Ledger[[#This Row],[Amount]]*NHIL_Rate)</f>
        <v>96.65</v>
      </c>
      <c r="M239" s="92">
        <f>IF(INDEX(Cat_ChargesVAT,MATCH(tbl_Ledger[[#This Row],[Tax Category]],Cat_Codes,0))="No",0,tbl_Ledger[[#This Row],[Amount]]*GETFund_Rate)</f>
        <v>96.65</v>
      </c>
      <c r="N239" s="92">
        <f>tbl_Ledger[[#This Row],[Expected VAT]]+tbl_Ledger[[#This Row],[Expected NHIL]]+tbl_Ledger[[#This Row],[Expected GETFund]]</f>
        <v>773.19999999999993</v>
      </c>
      <c r="O239" s="92">
        <f>tbl_Ledger[[#This Row],[Amount]]+tbl_Ledger[[#This Row],[Tax Charged on Invoice]]</f>
        <v>4639.2</v>
      </c>
    </row>
    <row r="240" spans="1:15" x14ac:dyDescent="0.3">
      <c r="A240" s="11"/>
      <c r="B240" s="93">
        <v>233</v>
      </c>
      <c r="C240" s="94">
        <v>46209</v>
      </c>
      <c r="D240" s="95" t="s">
        <v>338</v>
      </c>
      <c r="E240" s="95" t="s">
        <v>318</v>
      </c>
      <c r="F240" s="96" t="s">
        <v>201</v>
      </c>
      <c r="G240" s="96" t="s">
        <v>205</v>
      </c>
      <c r="H240" s="97">
        <v>2361</v>
      </c>
      <c r="I240" s="96" t="s">
        <v>649</v>
      </c>
      <c r="J240" s="97">
        <v>0</v>
      </c>
      <c r="K240" s="92">
        <f>IF(INDEX(Cat_ChargesVAT,MATCH(tbl_Ledger[[#This Row],[Tax Category]],Cat_Codes,0))="No",0,tbl_Ledger[[#This Row],[Amount]]*VAT_Rate)</f>
        <v>0</v>
      </c>
      <c r="L240" s="92">
        <f>IF(INDEX(Cat_ChargesVAT,MATCH(tbl_Ledger[[#This Row],[Tax Category]],Cat_Codes,0))="No",0,tbl_Ledger[[#This Row],[Amount]]*NHIL_Rate)</f>
        <v>0</v>
      </c>
      <c r="M240" s="92">
        <f>IF(INDEX(Cat_ChargesVAT,MATCH(tbl_Ledger[[#This Row],[Tax Category]],Cat_Codes,0))="No",0,tbl_Ledger[[#This Row],[Amount]]*GETFund_Rate)</f>
        <v>0</v>
      </c>
      <c r="N240" s="92">
        <f>tbl_Ledger[[#This Row],[Expected VAT]]+tbl_Ledger[[#This Row],[Expected NHIL]]+tbl_Ledger[[#This Row],[Expected GETFund]]</f>
        <v>0</v>
      </c>
      <c r="O240" s="92">
        <f>tbl_Ledger[[#This Row],[Amount]]+tbl_Ledger[[#This Row],[Tax Charged on Invoice]]</f>
        <v>2361</v>
      </c>
    </row>
    <row r="241" spans="1:15" x14ac:dyDescent="0.3">
      <c r="A241" s="11"/>
      <c r="B241" s="93">
        <v>234</v>
      </c>
      <c r="C241" s="94">
        <v>46209</v>
      </c>
      <c r="D241" s="95" t="s">
        <v>650</v>
      </c>
      <c r="E241" s="95" t="s">
        <v>350</v>
      </c>
      <c r="F241" s="96" t="s">
        <v>182</v>
      </c>
      <c r="G241" s="96" t="s">
        <v>179</v>
      </c>
      <c r="H241" s="97">
        <v>72103</v>
      </c>
      <c r="I241" s="96" t="s">
        <v>651</v>
      </c>
      <c r="J241" s="97">
        <v>14420.6</v>
      </c>
      <c r="K241" s="92">
        <f>IF(INDEX(Cat_ChargesVAT,MATCH(tbl_Ledger[[#This Row],[Tax Category]],Cat_Codes,0))="No",0,tbl_Ledger[[#This Row],[Amount]]*VAT_Rate)</f>
        <v>10815.449999999999</v>
      </c>
      <c r="L241" s="92">
        <f>IF(INDEX(Cat_ChargesVAT,MATCH(tbl_Ledger[[#This Row],[Tax Category]],Cat_Codes,0))="No",0,tbl_Ledger[[#This Row],[Amount]]*NHIL_Rate)</f>
        <v>1802.575</v>
      </c>
      <c r="M241" s="92">
        <f>IF(INDEX(Cat_ChargesVAT,MATCH(tbl_Ledger[[#This Row],[Tax Category]],Cat_Codes,0))="No",0,tbl_Ledger[[#This Row],[Amount]]*GETFund_Rate)</f>
        <v>1802.575</v>
      </c>
      <c r="N241" s="92">
        <f>tbl_Ledger[[#This Row],[Expected VAT]]+tbl_Ledger[[#This Row],[Expected NHIL]]+tbl_Ledger[[#This Row],[Expected GETFund]]</f>
        <v>14420.6</v>
      </c>
      <c r="O241" s="92">
        <f>tbl_Ledger[[#This Row],[Amount]]+tbl_Ledger[[#This Row],[Tax Charged on Invoice]]</f>
        <v>86523.6</v>
      </c>
    </row>
    <row r="242" spans="1:15" x14ac:dyDescent="0.3">
      <c r="A242" s="11"/>
      <c r="B242" s="93">
        <v>235</v>
      </c>
      <c r="C242" s="94">
        <v>46211</v>
      </c>
      <c r="D242" s="95" t="s">
        <v>472</v>
      </c>
      <c r="E242" s="95" t="s">
        <v>417</v>
      </c>
      <c r="F242" s="96" t="s">
        <v>201</v>
      </c>
      <c r="G242" s="96" t="s">
        <v>199</v>
      </c>
      <c r="H242" s="97">
        <v>2232</v>
      </c>
      <c r="I242" s="96" t="s">
        <v>652</v>
      </c>
      <c r="J242" s="97">
        <v>446.4</v>
      </c>
      <c r="K242" s="92">
        <f>IF(INDEX(Cat_ChargesVAT,MATCH(tbl_Ledger[[#This Row],[Tax Category]],Cat_Codes,0))="No",0,tbl_Ledger[[#This Row],[Amount]]*VAT_Rate)</f>
        <v>334.8</v>
      </c>
      <c r="L242" s="92">
        <f>IF(INDEX(Cat_ChargesVAT,MATCH(tbl_Ledger[[#This Row],[Tax Category]],Cat_Codes,0))="No",0,tbl_Ledger[[#This Row],[Amount]]*NHIL_Rate)</f>
        <v>55.800000000000004</v>
      </c>
      <c r="M242" s="92">
        <f>IF(INDEX(Cat_ChargesVAT,MATCH(tbl_Ledger[[#This Row],[Tax Category]],Cat_Codes,0))="No",0,tbl_Ledger[[#This Row],[Amount]]*GETFund_Rate)</f>
        <v>55.800000000000004</v>
      </c>
      <c r="N242" s="92">
        <f>tbl_Ledger[[#This Row],[Expected VAT]]+tbl_Ledger[[#This Row],[Expected NHIL]]+tbl_Ledger[[#This Row],[Expected GETFund]]</f>
        <v>446.40000000000003</v>
      </c>
      <c r="O242" s="92">
        <f>tbl_Ledger[[#This Row],[Amount]]+tbl_Ledger[[#This Row],[Tax Charged on Invoice]]</f>
        <v>2678.4</v>
      </c>
    </row>
    <row r="243" spans="1:15" x14ac:dyDescent="0.3">
      <c r="A243" s="11"/>
      <c r="B243" s="93">
        <v>236</v>
      </c>
      <c r="C243" s="94">
        <v>46211</v>
      </c>
      <c r="D243" s="95" t="s">
        <v>653</v>
      </c>
      <c r="E243" s="95" t="s">
        <v>250</v>
      </c>
      <c r="F243" s="96" t="s">
        <v>182</v>
      </c>
      <c r="G243" s="96" t="s">
        <v>179</v>
      </c>
      <c r="H243" s="97">
        <v>57266</v>
      </c>
      <c r="I243" s="96" t="s">
        <v>654</v>
      </c>
      <c r="J243" s="97">
        <v>11453.2</v>
      </c>
      <c r="K243" s="92">
        <f>IF(INDEX(Cat_ChargesVAT,MATCH(tbl_Ledger[[#This Row],[Tax Category]],Cat_Codes,0))="No",0,tbl_Ledger[[#This Row],[Amount]]*VAT_Rate)</f>
        <v>8589.9</v>
      </c>
      <c r="L243" s="92">
        <f>IF(INDEX(Cat_ChargesVAT,MATCH(tbl_Ledger[[#This Row],[Tax Category]],Cat_Codes,0))="No",0,tbl_Ledger[[#This Row],[Amount]]*NHIL_Rate)</f>
        <v>1431.65</v>
      </c>
      <c r="M243" s="92">
        <f>IF(INDEX(Cat_ChargesVAT,MATCH(tbl_Ledger[[#This Row],[Tax Category]],Cat_Codes,0))="No",0,tbl_Ledger[[#This Row],[Amount]]*GETFund_Rate)</f>
        <v>1431.65</v>
      </c>
      <c r="N243" s="92">
        <f>tbl_Ledger[[#This Row],[Expected VAT]]+tbl_Ledger[[#This Row],[Expected NHIL]]+tbl_Ledger[[#This Row],[Expected GETFund]]</f>
        <v>11453.199999999999</v>
      </c>
      <c r="O243" s="92">
        <f>tbl_Ledger[[#This Row],[Amount]]+tbl_Ledger[[#This Row],[Tax Charged on Invoice]]</f>
        <v>68719.199999999997</v>
      </c>
    </row>
    <row r="244" spans="1:15" x14ac:dyDescent="0.3">
      <c r="A244" s="11"/>
      <c r="B244" s="93">
        <v>237</v>
      </c>
      <c r="C244" s="94">
        <v>46212</v>
      </c>
      <c r="D244" s="95" t="s">
        <v>440</v>
      </c>
      <c r="E244" s="95" t="s">
        <v>366</v>
      </c>
      <c r="F244" s="96" t="s">
        <v>201</v>
      </c>
      <c r="G244" s="96" t="s">
        <v>219</v>
      </c>
      <c r="H244" s="97">
        <v>7031</v>
      </c>
      <c r="I244" s="96" t="s">
        <v>655</v>
      </c>
      <c r="J244" s="97">
        <v>1406.2</v>
      </c>
      <c r="K244" s="92">
        <f>IF(INDEX(Cat_ChargesVAT,MATCH(tbl_Ledger[[#This Row],[Tax Category]],Cat_Codes,0))="No",0,tbl_Ledger[[#This Row],[Amount]]*VAT_Rate)</f>
        <v>1054.6499999999999</v>
      </c>
      <c r="L244" s="92">
        <f>IF(INDEX(Cat_ChargesVAT,MATCH(tbl_Ledger[[#This Row],[Tax Category]],Cat_Codes,0))="No",0,tbl_Ledger[[#This Row],[Amount]]*NHIL_Rate)</f>
        <v>175.77500000000001</v>
      </c>
      <c r="M244" s="92">
        <f>IF(INDEX(Cat_ChargesVAT,MATCH(tbl_Ledger[[#This Row],[Tax Category]],Cat_Codes,0))="No",0,tbl_Ledger[[#This Row],[Amount]]*GETFund_Rate)</f>
        <v>175.77500000000001</v>
      </c>
      <c r="N244" s="92">
        <f>tbl_Ledger[[#This Row],[Expected VAT]]+tbl_Ledger[[#This Row],[Expected NHIL]]+tbl_Ledger[[#This Row],[Expected GETFund]]</f>
        <v>1406.2</v>
      </c>
      <c r="O244" s="92">
        <f>tbl_Ledger[[#This Row],[Amount]]+tbl_Ledger[[#This Row],[Tax Charged on Invoice]]</f>
        <v>8437.2000000000007</v>
      </c>
    </row>
    <row r="245" spans="1:15" x14ac:dyDescent="0.3">
      <c r="A245" s="11"/>
      <c r="B245" s="93">
        <v>238</v>
      </c>
      <c r="C245" s="94">
        <v>46213</v>
      </c>
      <c r="D245" s="95" t="s">
        <v>536</v>
      </c>
      <c r="E245" s="95" t="s">
        <v>330</v>
      </c>
      <c r="F245" s="96" t="s">
        <v>201</v>
      </c>
      <c r="G245" s="96" t="s">
        <v>205</v>
      </c>
      <c r="H245" s="97">
        <v>28945</v>
      </c>
      <c r="I245" s="96" t="s">
        <v>656</v>
      </c>
      <c r="J245" s="97">
        <v>0</v>
      </c>
      <c r="K245" s="92">
        <f>IF(INDEX(Cat_ChargesVAT,MATCH(tbl_Ledger[[#This Row],[Tax Category]],Cat_Codes,0))="No",0,tbl_Ledger[[#This Row],[Amount]]*VAT_Rate)</f>
        <v>0</v>
      </c>
      <c r="L245" s="92">
        <f>IF(INDEX(Cat_ChargesVAT,MATCH(tbl_Ledger[[#This Row],[Tax Category]],Cat_Codes,0))="No",0,tbl_Ledger[[#This Row],[Amount]]*NHIL_Rate)</f>
        <v>0</v>
      </c>
      <c r="M245" s="92">
        <f>IF(INDEX(Cat_ChargesVAT,MATCH(tbl_Ledger[[#This Row],[Tax Category]],Cat_Codes,0))="No",0,tbl_Ledger[[#This Row],[Amount]]*GETFund_Rate)</f>
        <v>0</v>
      </c>
      <c r="N245" s="92">
        <f>tbl_Ledger[[#This Row],[Expected VAT]]+tbl_Ledger[[#This Row],[Expected NHIL]]+tbl_Ledger[[#This Row],[Expected GETFund]]</f>
        <v>0</v>
      </c>
      <c r="O245" s="92">
        <f>tbl_Ledger[[#This Row],[Amount]]+tbl_Ledger[[#This Row],[Tax Charged on Invoice]]</f>
        <v>28945</v>
      </c>
    </row>
    <row r="246" spans="1:15" x14ac:dyDescent="0.3">
      <c r="A246" s="11"/>
      <c r="B246" s="93">
        <v>239</v>
      </c>
      <c r="C246" s="94">
        <v>46213</v>
      </c>
      <c r="D246" s="95" t="s">
        <v>657</v>
      </c>
      <c r="E246" s="95" t="s">
        <v>268</v>
      </c>
      <c r="F246" s="96" t="s">
        <v>201</v>
      </c>
      <c r="G246" s="96" t="s">
        <v>205</v>
      </c>
      <c r="H246" s="97">
        <v>72314</v>
      </c>
      <c r="I246" s="96" t="s">
        <v>658</v>
      </c>
      <c r="J246" s="97">
        <v>0</v>
      </c>
      <c r="K246" s="92">
        <f>IF(INDEX(Cat_ChargesVAT,MATCH(tbl_Ledger[[#This Row],[Tax Category]],Cat_Codes,0))="No",0,tbl_Ledger[[#This Row],[Amount]]*VAT_Rate)</f>
        <v>0</v>
      </c>
      <c r="L246" s="92">
        <f>IF(INDEX(Cat_ChargesVAT,MATCH(tbl_Ledger[[#This Row],[Tax Category]],Cat_Codes,0))="No",0,tbl_Ledger[[#This Row],[Amount]]*NHIL_Rate)</f>
        <v>0</v>
      </c>
      <c r="M246" s="92">
        <f>IF(INDEX(Cat_ChargesVAT,MATCH(tbl_Ledger[[#This Row],[Tax Category]],Cat_Codes,0))="No",0,tbl_Ledger[[#This Row],[Amount]]*GETFund_Rate)</f>
        <v>0</v>
      </c>
      <c r="N246" s="92">
        <f>tbl_Ledger[[#This Row],[Expected VAT]]+tbl_Ledger[[#This Row],[Expected NHIL]]+tbl_Ledger[[#This Row],[Expected GETFund]]</f>
        <v>0</v>
      </c>
      <c r="O246" s="92">
        <f>tbl_Ledger[[#This Row],[Amount]]+tbl_Ledger[[#This Row],[Tax Charged on Invoice]]</f>
        <v>72314</v>
      </c>
    </row>
    <row r="247" spans="1:15" x14ac:dyDescent="0.3">
      <c r="A247" s="11"/>
      <c r="B247" s="93">
        <v>240</v>
      </c>
      <c r="C247" s="94">
        <v>46213</v>
      </c>
      <c r="D247" s="95" t="s">
        <v>509</v>
      </c>
      <c r="E247" s="95" t="s">
        <v>294</v>
      </c>
      <c r="F247" s="96" t="s">
        <v>182</v>
      </c>
      <c r="G247" s="96" t="s">
        <v>179</v>
      </c>
      <c r="H247" s="97">
        <v>71952</v>
      </c>
      <c r="I247" s="96" t="s">
        <v>659</v>
      </c>
      <c r="J247" s="97">
        <v>10792.8</v>
      </c>
      <c r="K247" s="92">
        <f>IF(INDEX(Cat_ChargesVAT,MATCH(tbl_Ledger[[#This Row],[Tax Category]],Cat_Codes,0))="No",0,tbl_Ledger[[#This Row],[Amount]]*VAT_Rate)</f>
        <v>10792.8</v>
      </c>
      <c r="L247" s="92">
        <f>IF(INDEX(Cat_ChargesVAT,MATCH(tbl_Ledger[[#This Row],[Tax Category]],Cat_Codes,0))="No",0,tbl_Ledger[[#This Row],[Amount]]*NHIL_Rate)</f>
        <v>1798.8000000000002</v>
      </c>
      <c r="M247" s="92">
        <f>IF(INDEX(Cat_ChargesVAT,MATCH(tbl_Ledger[[#This Row],[Tax Category]],Cat_Codes,0))="No",0,tbl_Ledger[[#This Row],[Amount]]*GETFund_Rate)</f>
        <v>1798.8000000000002</v>
      </c>
      <c r="N247" s="92">
        <f>tbl_Ledger[[#This Row],[Expected VAT]]+tbl_Ledger[[#This Row],[Expected NHIL]]+tbl_Ledger[[#This Row],[Expected GETFund]]</f>
        <v>14390.399999999998</v>
      </c>
      <c r="O247" s="92">
        <f>tbl_Ledger[[#This Row],[Amount]]+tbl_Ledger[[#This Row],[Tax Charged on Invoice]]</f>
        <v>82744.800000000003</v>
      </c>
    </row>
    <row r="248" spans="1:15" x14ac:dyDescent="0.3">
      <c r="A248" s="11"/>
      <c r="B248" s="93">
        <v>241</v>
      </c>
      <c r="C248" s="94">
        <v>46214</v>
      </c>
      <c r="D248" s="95" t="s">
        <v>660</v>
      </c>
      <c r="E248" s="95" t="s">
        <v>268</v>
      </c>
      <c r="F248" s="96" t="s">
        <v>201</v>
      </c>
      <c r="G248" s="96" t="s">
        <v>205</v>
      </c>
      <c r="H248" s="97">
        <v>56038</v>
      </c>
      <c r="I248" s="96" t="s">
        <v>661</v>
      </c>
      <c r="J248" s="97">
        <v>0</v>
      </c>
      <c r="K248" s="92">
        <f>IF(INDEX(Cat_ChargesVAT,MATCH(tbl_Ledger[[#This Row],[Tax Category]],Cat_Codes,0))="No",0,tbl_Ledger[[#This Row],[Amount]]*VAT_Rate)</f>
        <v>0</v>
      </c>
      <c r="L248" s="92">
        <f>IF(INDEX(Cat_ChargesVAT,MATCH(tbl_Ledger[[#This Row],[Tax Category]],Cat_Codes,0))="No",0,tbl_Ledger[[#This Row],[Amount]]*NHIL_Rate)</f>
        <v>0</v>
      </c>
      <c r="M248" s="92">
        <f>IF(INDEX(Cat_ChargesVAT,MATCH(tbl_Ledger[[#This Row],[Tax Category]],Cat_Codes,0))="No",0,tbl_Ledger[[#This Row],[Amount]]*GETFund_Rate)</f>
        <v>0</v>
      </c>
      <c r="N248" s="92">
        <f>tbl_Ledger[[#This Row],[Expected VAT]]+tbl_Ledger[[#This Row],[Expected NHIL]]+tbl_Ledger[[#This Row],[Expected GETFund]]</f>
        <v>0</v>
      </c>
      <c r="O248" s="92">
        <f>tbl_Ledger[[#This Row],[Amount]]+tbl_Ledger[[#This Row],[Tax Charged on Invoice]]</f>
        <v>56038</v>
      </c>
    </row>
    <row r="249" spans="1:15" x14ac:dyDescent="0.3">
      <c r="A249" s="11"/>
      <c r="B249" s="93">
        <v>242</v>
      </c>
      <c r="C249" s="94">
        <v>46214</v>
      </c>
      <c r="D249" s="95" t="s">
        <v>662</v>
      </c>
      <c r="E249" s="95" t="s">
        <v>516</v>
      </c>
      <c r="F249" s="96" t="s">
        <v>182</v>
      </c>
      <c r="G249" s="96" t="s">
        <v>179</v>
      </c>
      <c r="H249" s="97">
        <v>62964</v>
      </c>
      <c r="I249" s="96" t="s">
        <v>401</v>
      </c>
      <c r="J249" s="97">
        <v>12592.8</v>
      </c>
      <c r="K249" s="92">
        <f>IF(INDEX(Cat_ChargesVAT,MATCH(tbl_Ledger[[#This Row],[Tax Category]],Cat_Codes,0))="No",0,tbl_Ledger[[#This Row],[Amount]]*VAT_Rate)</f>
        <v>9444.6</v>
      </c>
      <c r="L249" s="92">
        <f>IF(INDEX(Cat_ChargesVAT,MATCH(tbl_Ledger[[#This Row],[Tax Category]],Cat_Codes,0))="No",0,tbl_Ledger[[#This Row],[Amount]]*NHIL_Rate)</f>
        <v>1574.1000000000001</v>
      </c>
      <c r="M249" s="92">
        <f>IF(INDEX(Cat_ChargesVAT,MATCH(tbl_Ledger[[#This Row],[Tax Category]],Cat_Codes,0))="No",0,tbl_Ledger[[#This Row],[Amount]]*GETFund_Rate)</f>
        <v>1574.1000000000001</v>
      </c>
      <c r="N249" s="92">
        <f>tbl_Ledger[[#This Row],[Expected VAT]]+tbl_Ledger[[#This Row],[Expected NHIL]]+tbl_Ledger[[#This Row],[Expected GETFund]]</f>
        <v>12592.800000000001</v>
      </c>
      <c r="O249" s="92">
        <f>tbl_Ledger[[#This Row],[Amount]]+tbl_Ledger[[#This Row],[Tax Charged on Invoice]]</f>
        <v>75556.800000000003</v>
      </c>
    </row>
    <row r="250" spans="1:15" x14ac:dyDescent="0.3">
      <c r="A250" s="11"/>
      <c r="B250" s="93">
        <v>243</v>
      </c>
      <c r="C250" s="94">
        <v>46215</v>
      </c>
      <c r="D250" s="95" t="s">
        <v>663</v>
      </c>
      <c r="E250" s="95" t="s">
        <v>275</v>
      </c>
      <c r="F250" s="96" t="s">
        <v>201</v>
      </c>
      <c r="G250" s="96" t="s">
        <v>212</v>
      </c>
      <c r="H250" s="97">
        <v>19185</v>
      </c>
      <c r="I250" s="96" t="s">
        <v>664</v>
      </c>
      <c r="J250" s="97">
        <v>0</v>
      </c>
      <c r="K250" s="92">
        <f>IF(INDEX(Cat_ChargesVAT,MATCH(tbl_Ledger[[#This Row],[Tax Category]],Cat_Codes,0))="No",0,tbl_Ledger[[#This Row],[Amount]]*VAT_Rate)</f>
        <v>0</v>
      </c>
      <c r="L250" s="92">
        <f>IF(INDEX(Cat_ChargesVAT,MATCH(tbl_Ledger[[#This Row],[Tax Category]],Cat_Codes,0))="No",0,tbl_Ledger[[#This Row],[Amount]]*NHIL_Rate)</f>
        <v>0</v>
      </c>
      <c r="M250" s="92">
        <f>IF(INDEX(Cat_ChargesVAT,MATCH(tbl_Ledger[[#This Row],[Tax Category]],Cat_Codes,0))="No",0,tbl_Ledger[[#This Row],[Amount]]*GETFund_Rate)</f>
        <v>0</v>
      </c>
      <c r="N250" s="92">
        <f>tbl_Ledger[[#This Row],[Expected VAT]]+tbl_Ledger[[#This Row],[Expected NHIL]]+tbl_Ledger[[#This Row],[Expected GETFund]]</f>
        <v>0</v>
      </c>
      <c r="O250" s="92">
        <f>tbl_Ledger[[#This Row],[Amount]]+tbl_Ledger[[#This Row],[Tax Charged on Invoice]]</f>
        <v>19185</v>
      </c>
    </row>
    <row r="251" spans="1:15" x14ac:dyDescent="0.3">
      <c r="A251" s="11"/>
      <c r="B251" s="93">
        <v>244</v>
      </c>
      <c r="C251" s="94">
        <v>46215</v>
      </c>
      <c r="D251" s="95" t="s">
        <v>665</v>
      </c>
      <c r="E251" s="95" t="s">
        <v>250</v>
      </c>
      <c r="F251" s="96" t="s">
        <v>182</v>
      </c>
      <c r="G251" s="96" t="s">
        <v>179</v>
      </c>
      <c r="H251" s="97">
        <v>41846</v>
      </c>
      <c r="I251" s="96" t="s">
        <v>666</v>
      </c>
      <c r="J251" s="97">
        <v>8369.2000000000007</v>
      </c>
      <c r="K251" s="92">
        <f>IF(INDEX(Cat_ChargesVAT,MATCH(tbl_Ledger[[#This Row],[Tax Category]],Cat_Codes,0))="No",0,tbl_Ledger[[#This Row],[Amount]]*VAT_Rate)</f>
        <v>6276.9</v>
      </c>
      <c r="L251" s="92">
        <f>IF(INDEX(Cat_ChargesVAT,MATCH(tbl_Ledger[[#This Row],[Tax Category]],Cat_Codes,0))="No",0,tbl_Ledger[[#This Row],[Amount]]*NHIL_Rate)</f>
        <v>1046.1500000000001</v>
      </c>
      <c r="M251" s="92">
        <f>IF(INDEX(Cat_ChargesVAT,MATCH(tbl_Ledger[[#This Row],[Tax Category]],Cat_Codes,0))="No",0,tbl_Ledger[[#This Row],[Amount]]*GETFund_Rate)</f>
        <v>1046.1500000000001</v>
      </c>
      <c r="N251" s="92">
        <f>tbl_Ledger[[#This Row],[Expected VAT]]+tbl_Ledger[[#This Row],[Expected NHIL]]+tbl_Ledger[[#This Row],[Expected GETFund]]</f>
        <v>8369.1999999999989</v>
      </c>
      <c r="O251" s="92">
        <f>tbl_Ledger[[#This Row],[Amount]]+tbl_Ledger[[#This Row],[Tax Charged on Invoice]]</f>
        <v>50215.199999999997</v>
      </c>
    </row>
    <row r="252" spans="1:15" x14ac:dyDescent="0.3">
      <c r="A252" s="11"/>
      <c r="B252" s="93">
        <v>245</v>
      </c>
      <c r="C252" s="94">
        <v>46218</v>
      </c>
      <c r="D252" s="95" t="s">
        <v>667</v>
      </c>
      <c r="E252" s="95" t="s">
        <v>268</v>
      </c>
      <c r="F252" s="96" t="s">
        <v>201</v>
      </c>
      <c r="G252" s="96" t="s">
        <v>205</v>
      </c>
      <c r="H252" s="97">
        <v>52633</v>
      </c>
      <c r="I252" s="96" t="s">
        <v>668</v>
      </c>
      <c r="J252" s="97">
        <v>0</v>
      </c>
      <c r="K252" s="92">
        <f>IF(INDEX(Cat_ChargesVAT,MATCH(tbl_Ledger[[#This Row],[Tax Category]],Cat_Codes,0))="No",0,tbl_Ledger[[#This Row],[Amount]]*VAT_Rate)</f>
        <v>0</v>
      </c>
      <c r="L252" s="92">
        <f>IF(INDEX(Cat_ChargesVAT,MATCH(tbl_Ledger[[#This Row],[Tax Category]],Cat_Codes,0))="No",0,tbl_Ledger[[#This Row],[Amount]]*NHIL_Rate)</f>
        <v>0</v>
      </c>
      <c r="M252" s="92">
        <f>IF(INDEX(Cat_ChargesVAT,MATCH(tbl_Ledger[[#This Row],[Tax Category]],Cat_Codes,0))="No",0,tbl_Ledger[[#This Row],[Amount]]*GETFund_Rate)</f>
        <v>0</v>
      </c>
      <c r="N252" s="92">
        <f>tbl_Ledger[[#This Row],[Expected VAT]]+tbl_Ledger[[#This Row],[Expected NHIL]]+tbl_Ledger[[#This Row],[Expected GETFund]]</f>
        <v>0</v>
      </c>
      <c r="O252" s="92">
        <f>tbl_Ledger[[#This Row],[Amount]]+tbl_Ledger[[#This Row],[Tax Charged on Invoice]]</f>
        <v>52633</v>
      </c>
    </row>
    <row r="253" spans="1:15" x14ac:dyDescent="0.3">
      <c r="A253" s="11"/>
      <c r="B253" s="93">
        <v>246</v>
      </c>
      <c r="C253" s="94">
        <v>46218</v>
      </c>
      <c r="D253" s="95" t="s">
        <v>320</v>
      </c>
      <c r="E253" s="95" t="s">
        <v>429</v>
      </c>
      <c r="F253" s="96" t="s">
        <v>201</v>
      </c>
      <c r="G253" s="96" t="s">
        <v>199</v>
      </c>
      <c r="H253" s="97">
        <v>16771</v>
      </c>
      <c r="I253" s="96" t="s">
        <v>669</v>
      </c>
      <c r="J253" s="97">
        <v>3354.2</v>
      </c>
      <c r="K253" s="92">
        <f>IF(INDEX(Cat_ChargesVAT,MATCH(tbl_Ledger[[#This Row],[Tax Category]],Cat_Codes,0))="No",0,tbl_Ledger[[#This Row],[Amount]]*VAT_Rate)</f>
        <v>2515.65</v>
      </c>
      <c r="L253" s="92">
        <f>IF(INDEX(Cat_ChargesVAT,MATCH(tbl_Ledger[[#This Row],[Tax Category]],Cat_Codes,0))="No",0,tbl_Ledger[[#This Row],[Amount]]*NHIL_Rate)</f>
        <v>419.27500000000003</v>
      </c>
      <c r="M253" s="92">
        <f>IF(INDEX(Cat_ChargesVAT,MATCH(tbl_Ledger[[#This Row],[Tax Category]],Cat_Codes,0))="No",0,tbl_Ledger[[#This Row],[Amount]]*GETFund_Rate)</f>
        <v>419.27500000000003</v>
      </c>
      <c r="N253" s="92">
        <f>tbl_Ledger[[#This Row],[Expected VAT]]+tbl_Ledger[[#This Row],[Expected NHIL]]+tbl_Ledger[[#This Row],[Expected GETFund]]</f>
        <v>3354.2000000000003</v>
      </c>
      <c r="O253" s="92">
        <f>tbl_Ledger[[#This Row],[Amount]]+tbl_Ledger[[#This Row],[Tax Charged on Invoice]]</f>
        <v>20125.2</v>
      </c>
    </row>
    <row r="254" spans="1:15" x14ac:dyDescent="0.3">
      <c r="A254" s="11"/>
      <c r="B254" s="93">
        <v>247</v>
      </c>
      <c r="C254" s="94">
        <v>46218</v>
      </c>
      <c r="D254" s="95" t="s">
        <v>670</v>
      </c>
      <c r="E254" s="95" t="s">
        <v>278</v>
      </c>
      <c r="F254" s="96" t="s">
        <v>201</v>
      </c>
      <c r="G254" s="96" t="s">
        <v>212</v>
      </c>
      <c r="H254" s="97">
        <v>50522</v>
      </c>
      <c r="I254" s="96" t="s">
        <v>671</v>
      </c>
      <c r="J254" s="97">
        <v>0</v>
      </c>
      <c r="K254" s="92">
        <f>IF(INDEX(Cat_ChargesVAT,MATCH(tbl_Ledger[[#This Row],[Tax Category]],Cat_Codes,0))="No",0,tbl_Ledger[[#This Row],[Amount]]*VAT_Rate)</f>
        <v>0</v>
      </c>
      <c r="L254" s="92">
        <f>IF(INDEX(Cat_ChargesVAT,MATCH(tbl_Ledger[[#This Row],[Tax Category]],Cat_Codes,0))="No",0,tbl_Ledger[[#This Row],[Amount]]*NHIL_Rate)</f>
        <v>0</v>
      </c>
      <c r="M254" s="92">
        <f>IF(INDEX(Cat_ChargesVAT,MATCH(tbl_Ledger[[#This Row],[Tax Category]],Cat_Codes,0))="No",0,tbl_Ledger[[#This Row],[Amount]]*GETFund_Rate)</f>
        <v>0</v>
      </c>
      <c r="N254" s="92">
        <f>tbl_Ledger[[#This Row],[Expected VAT]]+tbl_Ledger[[#This Row],[Expected NHIL]]+tbl_Ledger[[#This Row],[Expected GETFund]]</f>
        <v>0</v>
      </c>
      <c r="O254" s="92">
        <f>tbl_Ledger[[#This Row],[Amount]]+tbl_Ledger[[#This Row],[Tax Charged on Invoice]]</f>
        <v>50522</v>
      </c>
    </row>
    <row r="255" spans="1:15" x14ac:dyDescent="0.3">
      <c r="A255" s="11"/>
      <c r="B255" s="93">
        <v>248</v>
      </c>
      <c r="C255" s="94">
        <v>46218</v>
      </c>
      <c r="D255" s="95" t="s">
        <v>672</v>
      </c>
      <c r="E255" s="95" t="s">
        <v>350</v>
      </c>
      <c r="F255" s="96" t="s">
        <v>182</v>
      </c>
      <c r="G255" s="96" t="s">
        <v>179</v>
      </c>
      <c r="H255" s="97">
        <v>72343</v>
      </c>
      <c r="I255" s="96" t="s">
        <v>673</v>
      </c>
      <c r="J255" s="97">
        <v>14468.6</v>
      </c>
      <c r="K255" s="92">
        <f>IF(INDEX(Cat_ChargesVAT,MATCH(tbl_Ledger[[#This Row],[Tax Category]],Cat_Codes,0))="No",0,tbl_Ledger[[#This Row],[Amount]]*VAT_Rate)</f>
        <v>10851.449999999999</v>
      </c>
      <c r="L255" s="92">
        <f>IF(INDEX(Cat_ChargesVAT,MATCH(tbl_Ledger[[#This Row],[Tax Category]],Cat_Codes,0))="No",0,tbl_Ledger[[#This Row],[Amount]]*NHIL_Rate)</f>
        <v>1808.575</v>
      </c>
      <c r="M255" s="92">
        <f>IF(INDEX(Cat_ChargesVAT,MATCH(tbl_Ledger[[#This Row],[Tax Category]],Cat_Codes,0))="No",0,tbl_Ledger[[#This Row],[Amount]]*GETFund_Rate)</f>
        <v>1808.575</v>
      </c>
      <c r="N255" s="92">
        <f>tbl_Ledger[[#This Row],[Expected VAT]]+tbl_Ledger[[#This Row],[Expected NHIL]]+tbl_Ledger[[#This Row],[Expected GETFund]]</f>
        <v>14468.6</v>
      </c>
      <c r="O255" s="92">
        <f>tbl_Ledger[[#This Row],[Amount]]+tbl_Ledger[[#This Row],[Tax Charged on Invoice]]</f>
        <v>86811.6</v>
      </c>
    </row>
    <row r="256" spans="1:15" x14ac:dyDescent="0.3">
      <c r="A256" s="11"/>
      <c r="B256" s="93">
        <v>249</v>
      </c>
      <c r="C256" s="94">
        <v>46219</v>
      </c>
      <c r="D256" s="95" t="s">
        <v>674</v>
      </c>
      <c r="E256" s="95" t="s">
        <v>253</v>
      </c>
      <c r="F256" s="96" t="s">
        <v>182</v>
      </c>
      <c r="G256" s="96" t="s">
        <v>179</v>
      </c>
      <c r="H256" s="97">
        <v>71208</v>
      </c>
      <c r="I256" s="96" t="s">
        <v>675</v>
      </c>
      <c r="J256" s="97">
        <v>14241.6</v>
      </c>
      <c r="K256" s="92">
        <f>IF(INDEX(Cat_ChargesVAT,MATCH(tbl_Ledger[[#This Row],[Tax Category]],Cat_Codes,0))="No",0,tbl_Ledger[[#This Row],[Amount]]*VAT_Rate)</f>
        <v>10681.199999999999</v>
      </c>
      <c r="L256" s="92">
        <f>IF(INDEX(Cat_ChargesVAT,MATCH(tbl_Ledger[[#This Row],[Tax Category]],Cat_Codes,0))="No",0,tbl_Ledger[[#This Row],[Amount]]*NHIL_Rate)</f>
        <v>1780.2</v>
      </c>
      <c r="M256" s="92">
        <f>IF(INDEX(Cat_ChargesVAT,MATCH(tbl_Ledger[[#This Row],[Tax Category]],Cat_Codes,0))="No",0,tbl_Ledger[[#This Row],[Amount]]*GETFund_Rate)</f>
        <v>1780.2</v>
      </c>
      <c r="N256" s="92">
        <f>tbl_Ledger[[#This Row],[Expected VAT]]+tbl_Ledger[[#This Row],[Expected NHIL]]+tbl_Ledger[[#This Row],[Expected GETFund]]</f>
        <v>14241.6</v>
      </c>
      <c r="O256" s="92">
        <f>tbl_Ledger[[#This Row],[Amount]]+tbl_Ledger[[#This Row],[Tax Charged on Invoice]]</f>
        <v>85449.600000000006</v>
      </c>
    </row>
    <row r="257" spans="1:15" x14ac:dyDescent="0.3">
      <c r="A257" s="11"/>
      <c r="B257" s="93">
        <v>250</v>
      </c>
      <c r="C257" s="94">
        <v>46223</v>
      </c>
      <c r="D257" s="95" t="s">
        <v>676</v>
      </c>
      <c r="E257" s="95" t="s">
        <v>250</v>
      </c>
      <c r="F257" s="96" t="s">
        <v>182</v>
      </c>
      <c r="G257" s="96" t="s">
        <v>179</v>
      </c>
      <c r="H257" s="97">
        <v>81027</v>
      </c>
      <c r="I257" s="96" t="s">
        <v>677</v>
      </c>
      <c r="J257" s="97">
        <v>16205.4</v>
      </c>
      <c r="K257" s="92">
        <f>IF(INDEX(Cat_ChargesVAT,MATCH(tbl_Ledger[[#This Row],[Tax Category]],Cat_Codes,0))="No",0,tbl_Ledger[[#This Row],[Amount]]*VAT_Rate)</f>
        <v>12154.05</v>
      </c>
      <c r="L257" s="92">
        <f>IF(INDEX(Cat_ChargesVAT,MATCH(tbl_Ledger[[#This Row],[Tax Category]],Cat_Codes,0))="No",0,tbl_Ledger[[#This Row],[Amount]]*NHIL_Rate)</f>
        <v>2025.6750000000002</v>
      </c>
      <c r="M257" s="92">
        <f>IF(INDEX(Cat_ChargesVAT,MATCH(tbl_Ledger[[#This Row],[Tax Category]],Cat_Codes,0))="No",0,tbl_Ledger[[#This Row],[Amount]]*GETFund_Rate)</f>
        <v>2025.6750000000002</v>
      </c>
      <c r="N257" s="92">
        <f>tbl_Ledger[[#This Row],[Expected VAT]]+tbl_Ledger[[#This Row],[Expected NHIL]]+tbl_Ledger[[#This Row],[Expected GETFund]]</f>
        <v>16205.399999999998</v>
      </c>
      <c r="O257" s="92">
        <f>tbl_Ledger[[#This Row],[Amount]]+tbl_Ledger[[#This Row],[Tax Charged on Invoice]]</f>
        <v>97232.4</v>
      </c>
    </row>
    <row r="258" spans="1:15" x14ac:dyDescent="0.3">
      <c r="A258" s="11"/>
      <c r="B258" s="93">
        <v>251</v>
      </c>
      <c r="C258" s="94">
        <v>46224</v>
      </c>
      <c r="D258" s="95" t="s">
        <v>678</v>
      </c>
      <c r="E258" s="95" t="s">
        <v>275</v>
      </c>
      <c r="F258" s="96" t="s">
        <v>201</v>
      </c>
      <c r="G258" s="96" t="s">
        <v>212</v>
      </c>
      <c r="H258" s="97">
        <v>43337</v>
      </c>
      <c r="I258" s="96" t="s">
        <v>679</v>
      </c>
      <c r="J258" s="97">
        <v>0</v>
      </c>
      <c r="K258" s="92">
        <f>IF(INDEX(Cat_ChargesVAT,MATCH(tbl_Ledger[[#This Row],[Tax Category]],Cat_Codes,0))="No",0,tbl_Ledger[[#This Row],[Amount]]*VAT_Rate)</f>
        <v>0</v>
      </c>
      <c r="L258" s="92">
        <f>IF(INDEX(Cat_ChargesVAT,MATCH(tbl_Ledger[[#This Row],[Tax Category]],Cat_Codes,0))="No",0,tbl_Ledger[[#This Row],[Amount]]*NHIL_Rate)</f>
        <v>0</v>
      </c>
      <c r="M258" s="92">
        <f>IF(INDEX(Cat_ChargesVAT,MATCH(tbl_Ledger[[#This Row],[Tax Category]],Cat_Codes,0))="No",0,tbl_Ledger[[#This Row],[Amount]]*GETFund_Rate)</f>
        <v>0</v>
      </c>
      <c r="N258" s="92">
        <f>tbl_Ledger[[#This Row],[Expected VAT]]+tbl_Ledger[[#This Row],[Expected NHIL]]+tbl_Ledger[[#This Row],[Expected GETFund]]</f>
        <v>0</v>
      </c>
      <c r="O258" s="92">
        <f>tbl_Ledger[[#This Row],[Amount]]+tbl_Ledger[[#This Row],[Tax Charged on Invoice]]</f>
        <v>43337</v>
      </c>
    </row>
    <row r="259" spans="1:15" x14ac:dyDescent="0.3">
      <c r="A259" s="11"/>
      <c r="B259" s="93">
        <v>252</v>
      </c>
      <c r="C259" s="94">
        <v>46228</v>
      </c>
      <c r="D259" s="95" t="s">
        <v>397</v>
      </c>
      <c r="E259" s="95" t="s">
        <v>318</v>
      </c>
      <c r="F259" s="96" t="s">
        <v>201</v>
      </c>
      <c r="G259" s="96" t="s">
        <v>205</v>
      </c>
      <c r="H259" s="97">
        <v>498</v>
      </c>
      <c r="I259" s="96"/>
      <c r="J259" s="97">
        <v>0</v>
      </c>
      <c r="K259" s="92">
        <f>IF(INDEX(Cat_ChargesVAT,MATCH(tbl_Ledger[[#This Row],[Tax Category]],Cat_Codes,0))="No",0,tbl_Ledger[[#This Row],[Amount]]*VAT_Rate)</f>
        <v>0</v>
      </c>
      <c r="L259" s="92">
        <f>IF(INDEX(Cat_ChargesVAT,MATCH(tbl_Ledger[[#This Row],[Tax Category]],Cat_Codes,0))="No",0,tbl_Ledger[[#This Row],[Amount]]*NHIL_Rate)</f>
        <v>0</v>
      </c>
      <c r="M259" s="92">
        <f>IF(INDEX(Cat_ChargesVAT,MATCH(tbl_Ledger[[#This Row],[Tax Category]],Cat_Codes,0))="No",0,tbl_Ledger[[#This Row],[Amount]]*GETFund_Rate)</f>
        <v>0</v>
      </c>
      <c r="N259" s="92">
        <f>tbl_Ledger[[#This Row],[Expected VAT]]+tbl_Ledger[[#This Row],[Expected NHIL]]+tbl_Ledger[[#This Row],[Expected GETFund]]</f>
        <v>0</v>
      </c>
      <c r="O259" s="92">
        <f>tbl_Ledger[[#This Row],[Amount]]+tbl_Ledger[[#This Row],[Tax Charged on Invoice]]</f>
        <v>498</v>
      </c>
    </row>
    <row r="260" spans="1:15" x14ac:dyDescent="0.3">
      <c r="A260" s="11"/>
      <c r="B260" s="93">
        <v>253</v>
      </c>
      <c r="C260" s="94">
        <v>46228</v>
      </c>
      <c r="D260" s="95" t="s">
        <v>680</v>
      </c>
      <c r="E260" s="95" t="s">
        <v>261</v>
      </c>
      <c r="F260" s="96" t="s">
        <v>182</v>
      </c>
      <c r="G260" s="96" t="s">
        <v>179</v>
      </c>
      <c r="H260" s="97">
        <v>28838</v>
      </c>
      <c r="I260" s="96" t="s">
        <v>681</v>
      </c>
      <c r="J260" s="97">
        <v>5767.6</v>
      </c>
      <c r="K260" s="92">
        <f>IF(INDEX(Cat_ChargesVAT,MATCH(tbl_Ledger[[#This Row],[Tax Category]],Cat_Codes,0))="No",0,tbl_Ledger[[#This Row],[Amount]]*VAT_Rate)</f>
        <v>4325.7</v>
      </c>
      <c r="L260" s="92">
        <f>IF(INDEX(Cat_ChargesVAT,MATCH(tbl_Ledger[[#This Row],[Tax Category]],Cat_Codes,0))="No",0,tbl_Ledger[[#This Row],[Amount]]*NHIL_Rate)</f>
        <v>720.95</v>
      </c>
      <c r="M260" s="92">
        <f>IF(INDEX(Cat_ChargesVAT,MATCH(tbl_Ledger[[#This Row],[Tax Category]],Cat_Codes,0))="No",0,tbl_Ledger[[#This Row],[Amount]]*GETFund_Rate)</f>
        <v>720.95</v>
      </c>
      <c r="N260" s="92">
        <f>tbl_Ledger[[#This Row],[Expected VAT]]+tbl_Ledger[[#This Row],[Expected NHIL]]+tbl_Ledger[[#This Row],[Expected GETFund]]</f>
        <v>5767.5999999999995</v>
      </c>
      <c r="O260" s="92">
        <f>tbl_Ledger[[#This Row],[Amount]]+tbl_Ledger[[#This Row],[Tax Charged on Invoice]]</f>
        <v>34605.599999999999</v>
      </c>
    </row>
    <row r="261" spans="1:15" x14ac:dyDescent="0.3">
      <c r="A261" s="11"/>
      <c r="B261" s="93">
        <v>254</v>
      </c>
      <c r="C261" s="94">
        <v>46229</v>
      </c>
      <c r="D261" s="95" t="s">
        <v>365</v>
      </c>
      <c r="E261" s="95" t="s">
        <v>382</v>
      </c>
      <c r="F261" s="96" t="s">
        <v>201</v>
      </c>
      <c r="G261" s="96" t="s">
        <v>219</v>
      </c>
      <c r="H261" s="97">
        <v>11715</v>
      </c>
      <c r="I261" s="96" t="s">
        <v>682</v>
      </c>
      <c r="J261" s="97">
        <v>2343</v>
      </c>
      <c r="K261" s="92">
        <f>IF(INDEX(Cat_ChargesVAT,MATCH(tbl_Ledger[[#This Row],[Tax Category]],Cat_Codes,0))="No",0,tbl_Ledger[[#This Row],[Amount]]*VAT_Rate)</f>
        <v>1757.25</v>
      </c>
      <c r="L261" s="92">
        <f>IF(INDEX(Cat_ChargesVAT,MATCH(tbl_Ledger[[#This Row],[Tax Category]],Cat_Codes,0))="No",0,tbl_Ledger[[#This Row],[Amount]]*NHIL_Rate)</f>
        <v>292.875</v>
      </c>
      <c r="M261" s="92">
        <f>IF(INDEX(Cat_ChargesVAT,MATCH(tbl_Ledger[[#This Row],[Tax Category]],Cat_Codes,0))="No",0,tbl_Ledger[[#This Row],[Amount]]*GETFund_Rate)</f>
        <v>292.875</v>
      </c>
      <c r="N261" s="92">
        <f>tbl_Ledger[[#This Row],[Expected VAT]]+tbl_Ledger[[#This Row],[Expected NHIL]]+tbl_Ledger[[#This Row],[Expected GETFund]]</f>
        <v>2343</v>
      </c>
      <c r="O261" s="92">
        <f>tbl_Ledger[[#This Row],[Amount]]+tbl_Ledger[[#This Row],[Tax Charged on Invoice]]</f>
        <v>14058</v>
      </c>
    </row>
    <row r="262" spans="1:15" x14ac:dyDescent="0.3">
      <c r="A262" s="11"/>
      <c r="B262" s="93">
        <v>255</v>
      </c>
      <c r="C262" s="94">
        <v>46230</v>
      </c>
      <c r="D262" s="95" t="s">
        <v>683</v>
      </c>
      <c r="E262" s="95" t="s">
        <v>268</v>
      </c>
      <c r="F262" s="96" t="s">
        <v>201</v>
      </c>
      <c r="G262" s="96" t="s">
        <v>205</v>
      </c>
      <c r="H262" s="97">
        <v>53165</v>
      </c>
      <c r="I262" s="96" t="s">
        <v>684</v>
      </c>
      <c r="J262" s="97">
        <v>0</v>
      </c>
      <c r="K262" s="92">
        <f>IF(INDEX(Cat_ChargesVAT,MATCH(tbl_Ledger[[#This Row],[Tax Category]],Cat_Codes,0))="No",0,tbl_Ledger[[#This Row],[Amount]]*VAT_Rate)</f>
        <v>0</v>
      </c>
      <c r="L262" s="92">
        <f>IF(INDEX(Cat_ChargesVAT,MATCH(tbl_Ledger[[#This Row],[Tax Category]],Cat_Codes,0))="No",0,tbl_Ledger[[#This Row],[Amount]]*NHIL_Rate)</f>
        <v>0</v>
      </c>
      <c r="M262" s="92">
        <f>IF(INDEX(Cat_ChargesVAT,MATCH(tbl_Ledger[[#This Row],[Tax Category]],Cat_Codes,0))="No",0,tbl_Ledger[[#This Row],[Amount]]*GETFund_Rate)</f>
        <v>0</v>
      </c>
      <c r="N262" s="92">
        <f>tbl_Ledger[[#This Row],[Expected VAT]]+tbl_Ledger[[#This Row],[Expected NHIL]]+tbl_Ledger[[#This Row],[Expected GETFund]]</f>
        <v>0</v>
      </c>
      <c r="O262" s="92">
        <f>tbl_Ledger[[#This Row],[Amount]]+tbl_Ledger[[#This Row],[Tax Charged on Invoice]]</f>
        <v>53165</v>
      </c>
    </row>
    <row r="263" spans="1:15" x14ac:dyDescent="0.3">
      <c r="A263" s="11"/>
      <c r="B263" s="93">
        <v>256</v>
      </c>
      <c r="C263" s="94">
        <v>46231</v>
      </c>
      <c r="D263" s="95" t="s">
        <v>472</v>
      </c>
      <c r="E263" s="95" t="s">
        <v>496</v>
      </c>
      <c r="F263" s="96" t="s">
        <v>201</v>
      </c>
      <c r="G263" s="96" t="s">
        <v>199</v>
      </c>
      <c r="H263" s="97">
        <v>1755</v>
      </c>
      <c r="I263" s="96" t="s">
        <v>685</v>
      </c>
      <c r="J263" s="97">
        <v>351</v>
      </c>
      <c r="K263" s="92">
        <f>IF(INDEX(Cat_ChargesVAT,MATCH(tbl_Ledger[[#This Row],[Tax Category]],Cat_Codes,0))="No",0,tbl_Ledger[[#This Row],[Amount]]*VAT_Rate)</f>
        <v>263.25</v>
      </c>
      <c r="L263" s="92">
        <f>IF(INDEX(Cat_ChargesVAT,MATCH(tbl_Ledger[[#This Row],[Tax Category]],Cat_Codes,0))="No",0,tbl_Ledger[[#This Row],[Amount]]*NHIL_Rate)</f>
        <v>43.875</v>
      </c>
      <c r="M263" s="92">
        <f>IF(INDEX(Cat_ChargesVAT,MATCH(tbl_Ledger[[#This Row],[Tax Category]],Cat_Codes,0))="No",0,tbl_Ledger[[#This Row],[Amount]]*GETFund_Rate)</f>
        <v>43.875</v>
      </c>
      <c r="N263" s="92">
        <f>tbl_Ledger[[#This Row],[Expected VAT]]+tbl_Ledger[[#This Row],[Expected NHIL]]+tbl_Ledger[[#This Row],[Expected GETFund]]</f>
        <v>351</v>
      </c>
      <c r="O263" s="92">
        <f>tbl_Ledger[[#This Row],[Amount]]+tbl_Ledger[[#This Row],[Tax Charged on Invoice]]</f>
        <v>2106</v>
      </c>
    </row>
    <row r="264" spans="1:15" x14ac:dyDescent="0.3">
      <c r="A264" s="11"/>
      <c r="B264" s="93">
        <v>257</v>
      </c>
      <c r="C264" s="94">
        <v>46232</v>
      </c>
      <c r="D264" s="95" t="s">
        <v>306</v>
      </c>
      <c r="E264" s="95" t="s">
        <v>382</v>
      </c>
      <c r="F264" s="96" t="s">
        <v>201</v>
      </c>
      <c r="G264" s="96" t="s">
        <v>219</v>
      </c>
      <c r="H264" s="97">
        <v>11206</v>
      </c>
      <c r="I264" s="96" t="s">
        <v>686</v>
      </c>
      <c r="J264" s="97">
        <v>2241.1999999999998</v>
      </c>
      <c r="K264" s="92">
        <f>IF(INDEX(Cat_ChargesVAT,MATCH(tbl_Ledger[[#This Row],[Tax Category]],Cat_Codes,0))="No",0,tbl_Ledger[[#This Row],[Amount]]*VAT_Rate)</f>
        <v>1680.8999999999999</v>
      </c>
      <c r="L264" s="92">
        <f>IF(INDEX(Cat_ChargesVAT,MATCH(tbl_Ledger[[#This Row],[Tax Category]],Cat_Codes,0))="No",0,tbl_Ledger[[#This Row],[Amount]]*NHIL_Rate)</f>
        <v>280.15000000000003</v>
      </c>
      <c r="M264" s="92">
        <f>IF(INDEX(Cat_ChargesVAT,MATCH(tbl_Ledger[[#This Row],[Tax Category]],Cat_Codes,0))="No",0,tbl_Ledger[[#This Row],[Amount]]*GETFund_Rate)</f>
        <v>280.15000000000003</v>
      </c>
      <c r="N264" s="92">
        <f>tbl_Ledger[[#This Row],[Expected VAT]]+tbl_Ledger[[#This Row],[Expected NHIL]]+tbl_Ledger[[#This Row],[Expected GETFund]]</f>
        <v>2241.1999999999998</v>
      </c>
      <c r="O264" s="92">
        <f>tbl_Ledger[[#This Row],[Amount]]+tbl_Ledger[[#This Row],[Tax Charged on Invoice]]</f>
        <v>13447.2</v>
      </c>
    </row>
    <row r="265" spans="1:15" x14ac:dyDescent="0.3">
      <c r="A265" s="11"/>
      <c r="B265" s="93">
        <v>258</v>
      </c>
      <c r="C265" s="94">
        <v>46233</v>
      </c>
      <c r="D265" s="95" t="s">
        <v>397</v>
      </c>
      <c r="E265" s="95" t="s">
        <v>318</v>
      </c>
      <c r="F265" s="96" t="s">
        <v>201</v>
      </c>
      <c r="G265" s="96" t="s">
        <v>205</v>
      </c>
      <c r="H265" s="97">
        <v>558</v>
      </c>
      <c r="I265" s="96" t="s">
        <v>687</v>
      </c>
      <c r="J265" s="97">
        <v>0</v>
      </c>
      <c r="K265" s="92">
        <f>IF(INDEX(Cat_ChargesVAT,MATCH(tbl_Ledger[[#This Row],[Tax Category]],Cat_Codes,0))="No",0,tbl_Ledger[[#This Row],[Amount]]*VAT_Rate)</f>
        <v>0</v>
      </c>
      <c r="L265" s="92">
        <f>IF(INDEX(Cat_ChargesVAT,MATCH(tbl_Ledger[[#This Row],[Tax Category]],Cat_Codes,0))="No",0,tbl_Ledger[[#This Row],[Amount]]*NHIL_Rate)</f>
        <v>0</v>
      </c>
      <c r="M265" s="92">
        <f>IF(INDEX(Cat_ChargesVAT,MATCH(tbl_Ledger[[#This Row],[Tax Category]],Cat_Codes,0))="No",0,tbl_Ledger[[#This Row],[Amount]]*GETFund_Rate)</f>
        <v>0</v>
      </c>
      <c r="N265" s="92">
        <f>tbl_Ledger[[#This Row],[Expected VAT]]+tbl_Ledger[[#This Row],[Expected NHIL]]+tbl_Ledger[[#This Row],[Expected GETFund]]</f>
        <v>0</v>
      </c>
      <c r="O265" s="92">
        <f>tbl_Ledger[[#This Row],[Amount]]+tbl_Ledger[[#This Row],[Tax Charged on Invoice]]</f>
        <v>558</v>
      </c>
    </row>
    <row r="266" spans="1:15" x14ac:dyDescent="0.3">
      <c r="A266" s="11"/>
      <c r="B266" s="93">
        <v>259</v>
      </c>
      <c r="C266" s="94">
        <v>46233</v>
      </c>
      <c r="D266" s="95" t="s">
        <v>688</v>
      </c>
      <c r="E266" s="95" t="s">
        <v>288</v>
      </c>
      <c r="F266" s="96" t="s">
        <v>182</v>
      </c>
      <c r="G266" s="96" t="s">
        <v>193</v>
      </c>
      <c r="H266" s="97">
        <v>161339</v>
      </c>
      <c r="I266" s="96" t="s">
        <v>689</v>
      </c>
      <c r="J266" s="97">
        <v>32267.8</v>
      </c>
      <c r="K266" s="92">
        <f>IF(INDEX(Cat_ChargesVAT,MATCH(tbl_Ledger[[#This Row],[Tax Category]],Cat_Codes,0))="No",0,tbl_Ledger[[#This Row],[Amount]]*VAT_Rate)</f>
        <v>24200.85</v>
      </c>
      <c r="L266" s="92">
        <f>IF(INDEX(Cat_ChargesVAT,MATCH(tbl_Ledger[[#This Row],[Tax Category]],Cat_Codes,0))="No",0,tbl_Ledger[[#This Row],[Amount]]*NHIL_Rate)</f>
        <v>4033.4750000000004</v>
      </c>
      <c r="M266" s="92">
        <f>IF(INDEX(Cat_ChargesVAT,MATCH(tbl_Ledger[[#This Row],[Tax Category]],Cat_Codes,0))="No",0,tbl_Ledger[[#This Row],[Amount]]*GETFund_Rate)</f>
        <v>4033.4750000000004</v>
      </c>
      <c r="N266" s="92">
        <f>tbl_Ledger[[#This Row],[Expected VAT]]+tbl_Ledger[[#This Row],[Expected NHIL]]+tbl_Ledger[[#This Row],[Expected GETFund]]</f>
        <v>32267.799999999996</v>
      </c>
      <c r="O266" s="92">
        <f>tbl_Ledger[[#This Row],[Amount]]+tbl_Ledger[[#This Row],[Tax Charged on Invoice]]</f>
        <v>193606.8</v>
      </c>
    </row>
    <row r="267" spans="1:15" x14ac:dyDescent="0.3">
      <c r="A267" s="11"/>
      <c r="B267" s="93">
        <v>260</v>
      </c>
      <c r="C267" s="94">
        <v>46234</v>
      </c>
      <c r="D267" s="95" t="s">
        <v>690</v>
      </c>
      <c r="E267" s="95" t="s">
        <v>345</v>
      </c>
      <c r="F267" s="96" t="s">
        <v>201</v>
      </c>
      <c r="G267" s="96" t="s">
        <v>212</v>
      </c>
      <c r="H267" s="97">
        <v>118377</v>
      </c>
      <c r="I267" s="96" t="s">
        <v>691</v>
      </c>
      <c r="J267" s="97">
        <v>0</v>
      </c>
      <c r="K267" s="92">
        <f>IF(INDEX(Cat_ChargesVAT,MATCH(tbl_Ledger[[#This Row],[Tax Category]],Cat_Codes,0))="No",0,tbl_Ledger[[#This Row],[Amount]]*VAT_Rate)</f>
        <v>0</v>
      </c>
      <c r="L267" s="92">
        <f>IF(INDEX(Cat_ChargesVAT,MATCH(tbl_Ledger[[#This Row],[Tax Category]],Cat_Codes,0))="No",0,tbl_Ledger[[#This Row],[Amount]]*NHIL_Rate)</f>
        <v>0</v>
      </c>
      <c r="M267" s="92">
        <f>IF(INDEX(Cat_ChargesVAT,MATCH(tbl_Ledger[[#This Row],[Tax Category]],Cat_Codes,0))="No",0,tbl_Ledger[[#This Row],[Amount]]*GETFund_Rate)</f>
        <v>0</v>
      </c>
      <c r="N267" s="92">
        <f>tbl_Ledger[[#This Row],[Expected VAT]]+tbl_Ledger[[#This Row],[Expected NHIL]]+tbl_Ledger[[#This Row],[Expected GETFund]]</f>
        <v>0</v>
      </c>
      <c r="O267" s="92">
        <f>tbl_Ledger[[#This Row],[Amount]]+tbl_Ledger[[#This Row],[Tax Charged on Invoice]]</f>
        <v>118377</v>
      </c>
    </row>
    <row r="268" spans="1:15" x14ac:dyDescent="0.3">
      <c r="A268" s="11"/>
      <c r="B268" s="93">
        <v>261</v>
      </c>
      <c r="C268" s="94">
        <v>46235</v>
      </c>
      <c r="D268" s="95" t="s">
        <v>386</v>
      </c>
      <c r="E268" s="95" t="s">
        <v>330</v>
      </c>
      <c r="F268" s="96" t="s">
        <v>201</v>
      </c>
      <c r="G268" s="96" t="s">
        <v>205</v>
      </c>
      <c r="H268" s="97">
        <v>15411</v>
      </c>
      <c r="I268" s="96" t="s">
        <v>692</v>
      </c>
      <c r="J268" s="97">
        <v>0</v>
      </c>
      <c r="K268" s="92">
        <f>IF(INDEX(Cat_ChargesVAT,MATCH(tbl_Ledger[[#This Row],[Tax Category]],Cat_Codes,0))="No",0,tbl_Ledger[[#This Row],[Amount]]*VAT_Rate)</f>
        <v>0</v>
      </c>
      <c r="L268" s="92">
        <f>IF(INDEX(Cat_ChargesVAT,MATCH(tbl_Ledger[[#This Row],[Tax Category]],Cat_Codes,0))="No",0,tbl_Ledger[[#This Row],[Amount]]*NHIL_Rate)</f>
        <v>0</v>
      </c>
      <c r="M268" s="92">
        <f>IF(INDEX(Cat_ChargesVAT,MATCH(tbl_Ledger[[#This Row],[Tax Category]],Cat_Codes,0))="No",0,tbl_Ledger[[#This Row],[Amount]]*GETFund_Rate)</f>
        <v>0</v>
      </c>
      <c r="N268" s="92">
        <f>tbl_Ledger[[#This Row],[Expected VAT]]+tbl_Ledger[[#This Row],[Expected NHIL]]+tbl_Ledger[[#This Row],[Expected GETFund]]</f>
        <v>0</v>
      </c>
      <c r="O268" s="92">
        <f>tbl_Ledger[[#This Row],[Amount]]+tbl_Ledger[[#This Row],[Tax Charged on Invoice]]</f>
        <v>15411</v>
      </c>
    </row>
    <row r="269" spans="1:15" x14ac:dyDescent="0.3">
      <c r="A269" s="11"/>
      <c r="B269" s="93">
        <v>262</v>
      </c>
      <c r="C269" s="94">
        <v>46235</v>
      </c>
      <c r="D269" s="95" t="s">
        <v>440</v>
      </c>
      <c r="E269" s="95" t="s">
        <v>366</v>
      </c>
      <c r="F269" s="96" t="s">
        <v>201</v>
      </c>
      <c r="G269" s="96" t="s">
        <v>219</v>
      </c>
      <c r="H269" s="97">
        <v>2821</v>
      </c>
      <c r="I269" s="96" t="s">
        <v>693</v>
      </c>
      <c r="J269" s="97">
        <v>564.20000000000005</v>
      </c>
      <c r="K269" s="92">
        <f>IF(INDEX(Cat_ChargesVAT,MATCH(tbl_Ledger[[#This Row],[Tax Category]],Cat_Codes,0))="No",0,tbl_Ledger[[#This Row],[Amount]]*VAT_Rate)</f>
        <v>423.15</v>
      </c>
      <c r="L269" s="92">
        <f>IF(INDEX(Cat_ChargesVAT,MATCH(tbl_Ledger[[#This Row],[Tax Category]],Cat_Codes,0))="No",0,tbl_Ledger[[#This Row],[Amount]]*NHIL_Rate)</f>
        <v>70.525000000000006</v>
      </c>
      <c r="M269" s="92">
        <f>IF(INDEX(Cat_ChargesVAT,MATCH(tbl_Ledger[[#This Row],[Tax Category]],Cat_Codes,0))="No",0,tbl_Ledger[[#This Row],[Amount]]*GETFund_Rate)</f>
        <v>70.525000000000006</v>
      </c>
      <c r="N269" s="92">
        <f>tbl_Ledger[[#This Row],[Expected VAT]]+tbl_Ledger[[#This Row],[Expected NHIL]]+tbl_Ledger[[#This Row],[Expected GETFund]]</f>
        <v>564.19999999999993</v>
      </c>
      <c r="O269" s="92">
        <f>tbl_Ledger[[#This Row],[Amount]]+tbl_Ledger[[#This Row],[Tax Charged on Invoice]]</f>
        <v>3385.2</v>
      </c>
    </row>
    <row r="270" spans="1:15" x14ac:dyDescent="0.3">
      <c r="A270" s="11"/>
      <c r="B270" s="93">
        <v>263</v>
      </c>
      <c r="C270" s="94">
        <v>46235</v>
      </c>
      <c r="D270" s="95" t="s">
        <v>694</v>
      </c>
      <c r="E270" s="95" t="s">
        <v>288</v>
      </c>
      <c r="F270" s="96" t="s">
        <v>182</v>
      </c>
      <c r="G270" s="96" t="s">
        <v>193</v>
      </c>
      <c r="H270" s="97">
        <v>109604</v>
      </c>
      <c r="I270" s="96" t="s">
        <v>695</v>
      </c>
      <c r="J270" s="97">
        <v>21920.799999999999</v>
      </c>
      <c r="K270" s="92">
        <f>IF(INDEX(Cat_ChargesVAT,MATCH(tbl_Ledger[[#This Row],[Tax Category]],Cat_Codes,0))="No",0,tbl_Ledger[[#This Row],[Amount]]*VAT_Rate)</f>
        <v>16440.599999999999</v>
      </c>
      <c r="L270" s="92">
        <f>IF(INDEX(Cat_ChargesVAT,MATCH(tbl_Ledger[[#This Row],[Tax Category]],Cat_Codes,0))="No",0,tbl_Ledger[[#This Row],[Amount]]*NHIL_Rate)</f>
        <v>2740.1000000000004</v>
      </c>
      <c r="M270" s="92">
        <f>IF(INDEX(Cat_ChargesVAT,MATCH(tbl_Ledger[[#This Row],[Tax Category]],Cat_Codes,0))="No",0,tbl_Ledger[[#This Row],[Amount]]*GETFund_Rate)</f>
        <v>2740.1000000000004</v>
      </c>
      <c r="N270" s="92">
        <f>tbl_Ledger[[#This Row],[Expected VAT]]+tbl_Ledger[[#This Row],[Expected NHIL]]+tbl_Ledger[[#This Row],[Expected GETFund]]</f>
        <v>21920.799999999996</v>
      </c>
      <c r="O270" s="92">
        <f>tbl_Ledger[[#This Row],[Amount]]+tbl_Ledger[[#This Row],[Tax Charged on Invoice]]</f>
        <v>131524.79999999999</v>
      </c>
    </row>
    <row r="271" spans="1:15" x14ac:dyDescent="0.3">
      <c r="A271" s="11"/>
      <c r="B271" s="93">
        <v>264</v>
      </c>
      <c r="C271" s="94">
        <v>46236</v>
      </c>
      <c r="D271" s="95" t="s">
        <v>317</v>
      </c>
      <c r="E271" s="95" t="s">
        <v>318</v>
      </c>
      <c r="F271" s="96" t="s">
        <v>201</v>
      </c>
      <c r="G271" s="96" t="s">
        <v>205</v>
      </c>
      <c r="H271" s="97">
        <v>3299</v>
      </c>
      <c r="I271" s="96" t="s">
        <v>696</v>
      </c>
      <c r="J271" s="97">
        <v>0</v>
      </c>
      <c r="K271" s="92">
        <f>IF(INDEX(Cat_ChargesVAT,MATCH(tbl_Ledger[[#This Row],[Tax Category]],Cat_Codes,0))="No",0,tbl_Ledger[[#This Row],[Amount]]*VAT_Rate)</f>
        <v>0</v>
      </c>
      <c r="L271" s="92">
        <f>IF(INDEX(Cat_ChargesVAT,MATCH(tbl_Ledger[[#This Row],[Tax Category]],Cat_Codes,0))="No",0,tbl_Ledger[[#This Row],[Amount]]*NHIL_Rate)</f>
        <v>0</v>
      </c>
      <c r="M271" s="92">
        <f>IF(INDEX(Cat_ChargesVAT,MATCH(tbl_Ledger[[#This Row],[Tax Category]],Cat_Codes,0))="No",0,tbl_Ledger[[#This Row],[Amount]]*GETFund_Rate)</f>
        <v>0</v>
      </c>
      <c r="N271" s="92">
        <f>tbl_Ledger[[#This Row],[Expected VAT]]+tbl_Ledger[[#This Row],[Expected NHIL]]+tbl_Ledger[[#This Row],[Expected GETFund]]</f>
        <v>0</v>
      </c>
      <c r="O271" s="92">
        <f>tbl_Ledger[[#This Row],[Amount]]+tbl_Ledger[[#This Row],[Tax Charged on Invoice]]</f>
        <v>3299</v>
      </c>
    </row>
    <row r="272" spans="1:15" x14ac:dyDescent="0.3">
      <c r="A272" s="11"/>
      <c r="B272" s="93">
        <v>265</v>
      </c>
      <c r="C272" s="94">
        <v>46236</v>
      </c>
      <c r="D272" s="95" t="s">
        <v>449</v>
      </c>
      <c r="E272" s="95" t="s">
        <v>516</v>
      </c>
      <c r="F272" s="96" t="s">
        <v>182</v>
      </c>
      <c r="G272" s="96" t="s">
        <v>187</v>
      </c>
      <c r="H272" s="97">
        <v>78937</v>
      </c>
      <c r="I272" s="96" t="s">
        <v>697</v>
      </c>
      <c r="J272" s="97">
        <v>15787.4</v>
      </c>
      <c r="K272" s="92">
        <f>IF(INDEX(Cat_ChargesVAT,MATCH(tbl_Ledger[[#This Row],[Tax Category]],Cat_Codes,0))="No",0,tbl_Ledger[[#This Row],[Amount]]*VAT_Rate)</f>
        <v>11840.55</v>
      </c>
      <c r="L272" s="92">
        <f>IF(INDEX(Cat_ChargesVAT,MATCH(tbl_Ledger[[#This Row],[Tax Category]],Cat_Codes,0))="No",0,tbl_Ledger[[#This Row],[Amount]]*NHIL_Rate)</f>
        <v>1973.4250000000002</v>
      </c>
      <c r="M272" s="92">
        <f>IF(INDEX(Cat_ChargesVAT,MATCH(tbl_Ledger[[#This Row],[Tax Category]],Cat_Codes,0))="No",0,tbl_Ledger[[#This Row],[Amount]]*GETFund_Rate)</f>
        <v>1973.4250000000002</v>
      </c>
      <c r="N272" s="92">
        <f>tbl_Ledger[[#This Row],[Expected VAT]]+tbl_Ledger[[#This Row],[Expected NHIL]]+tbl_Ledger[[#This Row],[Expected GETFund]]</f>
        <v>15787.399999999998</v>
      </c>
      <c r="O272" s="92">
        <f>tbl_Ledger[[#This Row],[Amount]]+tbl_Ledger[[#This Row],[Tax Charged on Invoice]]</f>
        <v>94724.4</v>
      </c>
    </row>
    <row r="273" spans="1:15" x14ac:dyDescent="0.3">
      <c r="A273" s="11"/>
      <c r="B273" s="93">
        <v>266</v>
      </c>
      <c r="C273" s="94">
        <v>46237</v>
      </c>
      <c r="D273" s="95" t="s">
        <v>698</v>
      </c>
      <c r="E273" s="95" t="s">
        <v>516</v>
      </c>
      <c r="F273" s="96" t="s">
        <v>182</v>
      </c>
      <c r="G273" s="96" t="s">
        <v>179</v>
      </c>
      <c r="H273" s="97">
        <v>42838</v>
      </c>
      <c r="I273" s="96" t="s">
        <v>699</v>
      </c>
      <c r="J273" s="97">
        <v>8567.6</v>
      </c>
      <c r="K273" s="92">
        <f>IF(INDEX(Cat_ChargesVAT,MATCH(tbl_Ledger[[#This Row],[Tax Category]],Cat_Codes,0))="No",0,tbl_Ledger[[#This Row],[Amount]]*VAT_Rate)</f>
        <v>6425.7</v>
      </c>
      <c r="L273" s="92">
        <f>IF(INDEX(Cat_ChargesVAT,MATCH(tbl_Ledger[[#This Row],[Tax Category]],Cat_Codes,0))="No",0,tbl_Ledger[[#This Row],[Amount]]*NHIL_Rate)</f>
        <v>1070.95</v>
      </c>
      <c r="M273" s="92">
        <f>IF(INDEX(Cat_ChargesVAT,MATCH(tbl_Ledger[[#This Row],[Tax Category]],Cat_Codes,0))="No",0,tbl_Ledger[[#This Row],[Amount]]*GETFund_Rate)</f>
        <v>1070.95</v>
      </c>
      <c r="N273" s="92">
        <f>tbl_Ledger[[#This Row],[Expected VAT]]+tbl_Ledger[[#This Row],[Expected NHIL]]+tbl_Ledger[[#This Row],[Expected GETFund]]</f>
        <v>8567.6</v>
      </c>
      <c r="O273" s="92">
        <f>tbl_Ledger[[#This Row],[Amount]]+tbl_Ledger[[#This Row],[Tax Charged on Invoice]]</f>
        <v>51405.599999999999</v>
      </c>
    </row>
    <row r="274" spans="1:15" x14ac:dyDescent="0.3">
      <c r="A274" s="11"/>
      <c r="B274" s="93">
        <v>267</v>
      </c>
      <c r="C274" s="94">
        <v>46238</v>
      </c>
      <c r="D274" s="95" t="s">
        <v>700</v>
      </c>
      <c r="E274" s="95" t="s">
        <v>516</v>
      </c>
      <c r="F274" s="96" t="s">
        <v>182</v>
      </c>
      <c r="G274" s="96" t="s">
        <v>179</v>
      </c>
      <c r="H274" s="97">
        <v>29693</v>
      </c>
      <c r="I274" s="96" t="s">
        <v>701</v>
      </c>
      <c r="J274" s="97">
        <v>5938.6</v>
      </c>
      <c r="K274" s="92">
        <f>IF(INDEX(Cat_ChargesVAT,MATCH(tbl_Ledger[[#This Row],[Tax Category]],Cat_Codes,0))="No",0,tbl_Ledger[[#This Row],[Amount]]*VAT_Rate)</f>
        <v>4453.95</v>
      </c>
      <c r="L274" s="92">
        <f>IF(INDEX(Cat_ChargesVAT,MATCH(tbl_Ledger[[#This Row],[Tax Category]],Cat_Codes,0))="No",0,tbl_Ledger[[#This Row],[Amount]]*NHIL_Rate)</f>
        <v>742.32500000000005</v>
      </c>
      <c r="M274" s="92">
        <f>IF(INDEX(Cat_ChargesVAT,MATCH(tbl_Ledger[[#This Row],[Tax Category]],Cat_Codes,0))="No",0,tbl_Ledger[[#This Row],[Amount]]*GETFund_Rate)</f>
        <v>742.32500000000005</v>
      </c>
      <c r="N274" s="92">
        <f>tbl_Ledger[[#This Row],[Expected VAT]]+tbl_Ledger[[#This Row],[Expected NHIL]]+tbl_Ledger[[#This Row],[Expected GETFund]]</f>
        <v>5938.5999999999995</v>
      </c>
      <c r="O274" s="92">
        <f>tbl_Ledger[[#This Row],[Amount]]+tbl_Ledger[[#This Row],[Tax Charged on Invoice]]</f>
        <v>35631.599999999999</v>
      </c>
    </row>
    <row r="275" spans="1:15" x14ac:dyDescent="0.3">
      <c r="A275" s="11"/>
      <c r="B275" s="93">
        <v>268</v>
      </c>
      <c r="C275" s="94">
        <v>46239</v>
      </c>
      <c r="D275" s="95" t="s">
        <v>403</v>
      </c>
      <c r="E275" s="95" t="s">
        <v>275</v>
      </c>
      <c r="F275" s="96" t="s">
        <v>201</v>
      </c>
      <c r="G275" s="96" t="s">
        <v>212</v>
      </c>
      <c r="H275" s="97">
        <v>69888</v>
      </c>
      <c r="I275" s="96" t="s">
        <v>702</v>
      </c>
      <c r="J275" s="97">
        <v>0</v>
      </c>
      <c r="K275" s="92">
        <f>IF(INDEX(Cat_ChargesVAT,MATCH(tbl_Ledger[[#This Row],[Tax Category]],Cat_Codes,0))="No",0,tbl_Ledger[[#This Row],[Amount]]*VAT_Rate)</f>
        <v>0</v>
      </c>
      <c r="L275" s="92">
        <f>IF(INDEX(Cat_ChargesVAT,MATCH(tbl_Ledger[[#This Row],[Tax Category]],Cat_Codes,0))="No",0,tbl_Ledger[[#This Row],[Amount]]*NHIL_Rate)</f>
        <v>0</v>
      </c>
      <c r="M275" s="92">
        <f>IF(INDEX(Cat_ChargesVAT,MATCH(tbl_Ledger[[#This Row],[Tax Category]],Cat_Codes,0))="No",0,tbl_Ledger[[#This Row],[Amount]]*GETFund_Rate)</f>
        <v>0</v>
      </c>
      <c r="N275" s="92">
        <f>tbl_Ledger[[#This Row],[Expected VAT]]+tbl_Ledger[[#This Row],[Expected NHIL]]+tbl_Ledger[[#This Row],[Expected GETFund]]</f>
        <v>0</v>
      </c>
      <c r="O275" s="92">
        <f>tbl_Ledger[[#This Row],[Amount]]+tbl_Ledger[[#This Row],[Tax Charged on Invoice]]</f>
        <v>69888</v>
      </c>
    </row>
    <row r="276" spans="1:15" x14ac:dyDescent="0.3">
      <c r="A276" s="11"/>
      <c r="B276" s="93">
        <v>269</v>
      </c>
      <c r="C276" s="94">
        <v>46240</v>
      </c>
      <c r="D276" s="95" t="s">
        <v>703</v>
      </c>
      <c r="E276" s="95" t="s">
        <v>288</v>
      </c>
      <c r="F276" s="96" t="s">
        <v>182</v>
      </c>
      <c r="G276" s="96" t="s">
        <v>179</v>
      </c>
      <c r="H276" s="97">
        <v>80427</v>
      </c>
      <c r="I276" s="96" t="s">
        <v>704</v>
      </c>
      <c r="J276" s="97">
        <v>16085.4</v>
      </c>
      <c r="K276" s="92">
        <f>IF(INDEX(Cat_ChargesVAT,MATCH(tbl_Ledger[[#This Row],[Tax Category]],Cat_Codes,0))="No",0,tbl_Ledger[[#This Row],[Amount]]*VAT_Rate)</f>
        <v>12064.05</v>
      </c>
      <c r="L276" s="92">
        <f>IF(INDEX(Cat_ChargesVAT,MATCH(tbl_Ledger[[#This Row],[Tax Category]],Cat_Codes,0))="No",0,tbl_Ledger[[#This Row],[Amount]]*NHIL_Rate)</f>
        <v>2010.6750000000002</v>
      </c>
      <c r="M276" s="92">
        <f>IF(INDEX(Cat_ChargesVAT,MATCH(tbl_Ledger[[#This Row],[Tax Category]],Cat_Codes,0))="No",0,tbl_Ledger[[#This Row],[Amount]]*GETFund_Rate)</f>
        <v>2010.6750000000002</v>
      </c>
      <c r="N276" s="92">
        <f>tbl_Ledger[[#This Row],[Expected VAT]]+tbl_Ledger[[#This Row],[Expected NHIL]]+tbl_Ledger[[#This Row],[Expected GETFund]]</f>
        <v>16085.399999999998</v>
      </c>
      <c r="O276" s="92">
        <f>tbl_Ledger[[#This Row],[Amount]]+tbl_Ledger[[#This Row],[Tax Charged on Invoice]]</f>
        <v>96512.4</v>
      </c>
    </row>
    <row r="277" spans="1:15" x14ac:dyDescent="0.3">
      <c r="A277" s="11"/>
      <c r="B277" s="93">
        <v>270</v>
      </c>
      <c r="C277" s="94">
        <v>46240</v>
      </c>
      <c r="D277" s="95" t="s">
        <v>610</v>
      </c>
      <c r="E277" s="95" t="s">
        <v>288</v>
      </c>
      <c r="F277" s="96" t="s">
        <v>182</v>
      </c>
      <c r="G277" s="96" t="s">
        <v>187</v>
      </c>
      <c r="H277" s="97">
        <v>38946</v>
      </c>
      <c r="I277" s="96" t="s">
        <v>705</v>
      </c>
      <c r="J277" s="97">
        <v>7789.2</v>
      </c>
      <c r="K277" s="92">
        <f>IF(INDEX(Cat_ChargesVAT,MATCH(tbl_Ledger[[#This Row],[Tax Category]],Cat_Codes,0))="No",0,tbl_Ledger[[#This Row],[Amount]]*VAT_Rate)</f>
        <v>5841.9</v>
      </c>
      <c r="L277" s="92">
        <f>IF(INDEX(Cat_ChargesVAT,MATCH(tbl_Ledger[[#This Row],[Tax Category]],Cat_Codes,0))="No",0,tbl_Ledger[[#This Row],[Amount]]*NHIL_Rate)</f>
        <v>973.65000000000009</v>
      </c>
      <c r="M277" s="92">
        <f>IF(INDEX(Cat_ChargesVAT,MATCH(tbl_Ledger[[#This Row],[Tax Category]],Cat_Codes,0))="No",0,tbl_Ledger[[#This Row],[Amount]]*GETFund_Rate)</f>
        <v>973.65000000000009</v>
      </c>
      <c r="N277" s="92">
        <f>tbl_Ledger[[#This Row],[Expected VAT]]+tbl_Ledger[[#This Row],[Expected NHIL]]+tbl_Ledger[[#This Row],[Expected GETFund]]</f>
        <v>7789.1999999999989</v>
      </c>
      <c r="O277" s="92">
        <f>tbl_Ledger[[#This Row],[Amount]]+tbl_Ledger[[#This Row],[Tax Charged on Invoice]]</f>
        <v>46735.199999999997</v>
      </c>
    </row>
    <row r="278" spans="1:15" x14ac:dyDescent="0.3">
      <c r="A278" s="11"/>
      <c r="B278" s="93">
        <v>271</v>
      </c>
      <c r="C278" s="94">
        <v>46241</v>
      </c>
      <c r="D278" s="95" t="s">
        <v>706</v>
      </c>
      <c r="E278" s="95" t="s">
        <v>268</v>
      </c>
      <c r="F278" s="96" t="s">
        <v>201</v>
      </c>
      <c r="G278" s="96" t="s">
        <v>205</v>
      </c>
      <c r="H278" s="97">
        <v>52801</v>
      </c>
      <c r="I278" s="96" t="s">
        <v>707</v>
      </c>
      <c r="J278" s="97">
        <v>0</v>
      </c>
      <c r="K278" s="92">
        <f>IF(INDEX(Cat_ChargesVAT,MATCH(tbl_Ledger[[#This Row],[Tax Category]],Cat_Codes,0))="No",0,tbl_Ledger[[#This Row],[Amount]]*VAT_Rate)</f>
        <v>0</v>
      </c>
      <c r="L278" s="92">
        <f>IF(INDEX(Cat_ChargesVAT,MATCH(tbl_Ledger[[#This Row],[Tax Category]],Cat_Codes,0))="No",0,tbl_Ledger[[#This Row],[Amount]]*NHIL_Rate)</f>
        <v>0</v>
      </c>
      <c r="M278" s="92">
        <f>IF(INDEX(Cat_ChargesVAT,MATCH(tbl_Ledger[[#This Row],[Tax Category]],Cat_Codes,0))="No",0,tbl_Ledger[[#This Row],[Amount]]*GETFund_Rate)</f>
        <v>0</v>
      </c>
      <c r="N278" s="92">
        <f>tbl_Ledger[[#This Row],[Expected VAT]]+tbl_Ledger[[#This Row],[Expected NHIL]]+tbl_Ledger[[#This Row],[Expected GETFund]]</f>
        <v>0</v>
      </c>
      <c r="O278" s="92">
        <f>tbl_Ledger[[#This Row],[Amount]]+tbl_Ledger[[#This Row],[Tax Charged on Invoice]]</f>
        <v>52801</v>
      </c>
    </row>
    <row r="279" spans="1:15" x14ac:dyDescent="0.3">
      <c r="A279" s="11"/>
      <c r="B279" s="93">
        <v>272</v>
      </c>
      <c r="C279" s="94">
        <v>46244</v>
      </c>
      <c r="D279" s="95" t="s">
        <v>472</v>
      </c>
      <c r="E279" s="95" t="s">
        <v>496</v>
      </c>
      <c r="F279" s="96" t="s">
        <v>201</v>
      </c>
      <c r="G279" s="96" t="s">
        <v>199</v>
      </c>
      <c r="H279" s="97">
        <v>2405</v>
      </c>
      <c r="I279" s="96" t="s">
        <v>708</v>
      </c>
      <c r="J279" s="97">
        <v>481</v>
      </c>
      <c r="K279" s="92">
        <f>IF(INDEX(Cat_ChargesVAT,MATCH(tbl_Ledger[[#This Row],[Tax Category]],Cat_Codes,0))="No",0,tbl_Ledger[[#This Row],[Amount]]*VAT_Rate)</f>
        <v>360.75</v>
      </c>
      <c r="L279" s="92">
        <f>IF(INDEX(Cat_ChargesVAT,MATCH(tbl_Ledger[[#This Row],[Tax Category]],Cat_Codes,0))="No",0,tbl_Ledger[[#This Row],[Amount]]*NHIL_Rate)</f>
        <v>60.125</v>
      </c>
      <c r="M279" s="92">
        <f>IF(INDEX(Cat_ChargesVAT,MATCH(tbl_Ledger[[#This Row],[Tax Category]],Cat_Codes,0))="No",0,tbl_Ledger[[#This Row],[Amount]]*GETFund_Rate)</f>
        <v>60.125</v>
      </c>
      <c r="N279" s="92">
        <f>tbl_Ledger[[#This Row],[Expected VAT]]+tbl_Ledger[[#This Row],[Expected NHIL]]+tbl_Ledger[[#This Row],[Expected GETFund]]</f>
        <v>481</v>
      </c>
      <c r="O279" s="92">
        <f>tbl_Ledger[[#This Row],[Amount]]+tbl_Ledger[[#This Row],[Tax Charged on Invoice]]</f>
        <v>2886</v>
      </c>
    </row>
    <row r="280" spans="1:15" x14ac:dyDescent="0.3">
      <c r="A280" s="11"/>
      <c r="B280" s="93">
        <v>273</v>
      </c>
      <c r="C280" s="94">
        <v>46244</v>
      </c>
      <c r="D280" s="95" t="s">
        <v>541</v>
      </c>
      <c r="E280" s="95" t="s">
        <v>412</v>
      </c>
      <c r="F280" s="96" t="s">
        <v>201</v>
      </c>
      <c r="G280" s="96" t="s">
        <v>199</v>
      </c>
      <c r="H280" s="97">
        <v>10097</v>
      </c>
      <c r="I280" s="96" t="s">
        <v>709</v>
      </c>
      <c r="J280" s="97">
        <v>2019.4</v>
      </c>
      <c r="K280" s="92">
        <f>IF(INDEX(Cat_ChargesVAT,MATCH(tbl_Ledger[[#This Row],[Tax Category]],Cat_Codes,0))="No",0,tbl_Ledger[[#This Row],[Amount]]*VAT_Rate)</f>
        <v>1514.55</v>
      </c>
      <c r="L280" s="92">
        <f>IF(INDEX(Cat_ChargesVAT,MATCH(tbl_Ledger[[#This Row],[Tax Category]],Cat_Codes,0))="No",0,tbl_Ledger[[#This Row],[Amount]]*NHIL_Rate)</f>
        <v>252.42500000000001</v>
      </c>
      <c r="M280" s="92">
        <f>IF(INDEX(Cat_ChargesVAT,MATCH(tbl_Ledger[[#This Row],[Tax Category]],Cat_Codes,0))="No",0,tbl_Ledger[[#This Row],[Amount]]*GETFund_Rate)</f>
        <v>252.42500000000001</v>
      </c>
      <c r="N280" s="92">
        <f>tbl_Ledger[[#This Row],[Expected VAT]]+tbl_Ledger[[#This Row],[Expected NHIL]]+tbl_Ledger[[#This Row],[Expected GETFund]]</f>
        <v>2019.3999999999999</v>
      </c>
      <c r="O280" s="92">
        <f>tbl_Ledger[[#This Row],[Amount]]+tbl_Ledger[[#This Row],[Tax Charged on Invoice]]</f>
        <v>12116.4</v>
      </c>
    </row>
    <row r="281" spans="1:15" x14ac:dyDescent="0.3">
      <c r="A281" s="11"/>
      <c r="B281" s="93">
        <v>274</v>
      </c>
      <c r="C281" s="94">
        <v>46244</v>
      </c>
      <c r="D281" s="95" t="s">
        <v>290</v>
      </c>
      <c r="E281" s="95" t="s">
        <v>256</v>
      </c>
      <c r="F281" s="96" t="s">
        <v>201</v>
      </c>
      <c r="G281" s="96" t="s">
        <v>199</v>
      </c>
      <c r="H281" s="97">
        <v>5015</v>
      </c>
      <c r="I281" s="96" t="s">
        <v>710</v>
      </c>
      <c r="J281" s="97">
        <v>1003</v>
      </c>
      <c r="K281" s="92">
        <f>IF(INDEX(Cat_ChargesVAT,MATCH(tbl_Ledger[[#This Row],[Tax Category]],Cat_Codes,0))="No",0,tbl_Ledger[[#This Row],[Amount]]*VAT_Rate)</f>
        <v>752.25</v>
      </c>
      <c r="L281" s="92">
        <f>IF(INDEX(Cat_ChargesVAT,MATCH(tbl_Ledger[[#This Row],[Tax Category]],Cat_Codes,0))="No",0,tbl_Ledger[[#This Row],[Amount]]*NHIL_Rate)</f>
        <v>125.375</v>
      </c>
      <c r="M281" s="92">
        <f>IF(INDEX(Cat_ChargesVAT,MATCH(tbl_Ledger[[#This Row],[Tax Category]],Cat_Codes,0))="No",0,tbl_Ledger[[#This Row],[Amount]]*GETFund_Rate)</f>
        <v>125.375</v>
      </c>
      <c r="N281" s="92">
        <f>tbl_Ledger[[#This Row],[Expected VAT]]+tbl_Ledger[[#This Row],[Expected NHIL]]+tbl_Ledger[[#This Row],[Expected GETFund]]</f>
        <v>1003</v>
      </c>
      <c r="O281" s="92">
        <f>tbl_Ledger[[#This Row],[Amount]]+tbl_Ledger[[#This Row],[Tax Charged on Invoice]]</f>
        <v>6018</v>
      </c>
    </row>
    <row r="282" spans="1:15" x14ac:dyDescent="0.3">
      <c r="A282" s="11"/>
      <c r="B282" s="93">
        <v>275</v>
      </c>
      <c r="C282" s="94">
        <v>46244</v>
      </c>
      <c r="D282" s="95" t="s">
        <v>711</v>
      </c>
      <c r="E282" s="95" t="s">
        <v>350</v>
      </c>
      <c r="F282" s="96" t="s">
        <v>182</v>
      </c>
      <c r="G282" s="96" t="s">
        <v>179</v>
      </c>
      <c r="H282" s="97">
        <v>55589</v>
      </c>
      <c r="I282" s="96" t="s">
        <v>712</v>
      </c>
      <c r="J282" s="97">
        <v>11117.8</v>
      </c>
      <c r="K282" s="92">
        <f>IF(INDEX(Cat_ChargesVAT,MATCH(tbl_Ledger[[#This Row],[Tax Category]],Cat_Codes,0))="No",0,tbl_Ledger[[#This Row],[Amount]]*VAT_Rate)</f>
        <v>8338.35</v>
      </c>
      <c r="L282" s="92">
        <f>IF(INDEX(Cat_ChargesVAT,MATCH(tbl_Ledger[[#This Row],[Tax Category]],Cat_Codes,0))="No",0,tbl_Ledger[[#This Row],[Amount]]*NHIL_Rate)</f>
        <v>1389.7250000000001</v>
      </c>
      <c r="M282" s="92">
        <f>IF(INDEX(Cat_ChargesVAT,MATCH(tbl_Ledger[[#This Row],[Tax Category]],Cat_Codes,0))="No",0,tbl_Ledger[[#This Row],[Amount]]*GETFund_Rate)</f>
        <v>1389.7250000000001</v>
      </c>
      <c r="N282" s="92">
        <f>tbl_Ledger[[#This Row],[Expected VAT]]+tbl_Ledger[[#This Row],[Expected NHIL]]+tbl_Ledger[[#This Row],[Expected GETFund]]</f>
        <v>11117.800000000001</v>
      </c>
      <c r="O282" s="92">
        <f>tbl_Ledger[[#This Row],[Amount]]+tbl_Ledger[[#This Row],[Tax Charged on Invoice]]</f>
        <v>66706.8</v>
      </c>
    </row>
    <row r="283" spans="1:15" x14ac:dyDescent="0.3">
      <c r="A283" s="11"/>
      <c r="B283" s="93">
        <v>276</v>
      </c>
      <c r="C283" s="94">
        <v>46244</v>
      </c>
      <c r="D283" s="95" t="s">
        <v>713</v>
      </c>
      <c r="E283" s="95" t="s">
        <v>350</v>
      </c>
      <c r="F283" s="96" t="s">
        <v>182</v>
      </c>
      <c r="G283" s="96" t="s">
        <v>179</v>
      </c>
      <c r="H283" s="97">
        <v>71442</v>
      </c>
      <c r="I283" s="96" t="s">
        <v>714</v>
      </c>
      <c r="J283" s="97">
        <v>14288.4</v>
      </c>
      <c r="K283" s="92">
        <f>IF(INDEX(Cat_ChargesVAT,MATCH(tbl_Ledger[[#This Row],[Tax Category]],Cat_Codes,0))="No",0,tbl_Ledger[[#This Row],[Amount]]*VAT_Rate)</f>
        <v>10716.3</v>
      </c>
      <c r="L283" s="92">
        <f>IF(INDEX(Cat_ChargesVAT,MATCH(tbl_Ledger[[#This Row],[Tax Category]],Cat_Codes,0))="No",0,tbl_Ledger[[#This Row],[Amount]]*NHIL_Rate)</f>
        <v>1786.0500000000002</v>
      </c>
      <c r="M283" s="92">
        <f>IF(INDEX(Cat_ChargesVAT,MATCH(tbl_Ledger[[#This Row],[Tax Category]],Cat_Codes,0))="No",0,tbl_Ledger[[#This Row],[Amount]]*GETFund_Rate)</f>
        <v>1786.0500000000002</v>
      </c>
      <c r="N283" s="92">
        <f>tbl_Ledger[[#This Row],[Expected VAT]]+tbl_Ledger[[#This Row],[Expected NHIL]]+tbl_Ledger[[#This Row],[Expected GETFund]]</f>
        <v>14288.399999999998</v>
      </c>
      <c r="O283" s="92">
        <f>tbl_Ledger[[#This Row],[Amount]]+tbl_Ledger[[#This Row],[Tax Charged on Invoice]]</f>
        <v>85730.4</v>
      </c>
    </row>
    <row r="284" spans="1:15" x14ac:dyDescent="0.3">
      <c r="A284" s="11"/>
      <c r="B284" s="93">
        <v>277</v>
      </c>
      <c r="C284" s="94">
        <v>46246</v>
      </c>
      <c r="D284" s="95" t="s">
        <v>715</v>
      </c>
      <c r="E284" s="95" t="s">
        <v>268</v>
      </c>
      <c r="F284" s="96" t="s">
        <v>201</v>
      </c>
      <c r="G284" s="96" t="s">
        <v>205</v>
      </c>
      <c r="H284" s="97">
        <v>35983</v>
      </c>
      <c r="I284" s="96" t="s">
        <v>716</v>
      </c>
      <c r="J284" s="97">
        <v>0</v>
      </c>
      <c r="K284" s="92">
        <f>IF(INDEX(Cat_ChargesVAT,MATCH(tbl_Ledger[[#This Row],[Tax Category]],Cat_Codes,0))="No",0,tbl_Ledger[[#This Row],[Amount]]*VAT_Rate)</f>
        <v>0</v>
      </c>
      <c r="L284" s="92">
        <f>IF(INDEX(Cat_ChargesVAT,MATCH(tbl_Ledger[[#This Row],[Tax Category]],Cat_Codes,0))="No",0,tbl_Ledger[[#This Row],[Amount]]*NHIL_Rate)</f>
        <v>0</v>
      </c>
      <c r="M284" s="92">
        <f>IF(INDEX(Cat_ChargesVAT,MATCH(tbl_Ledger[[#This Row],[Tax Category]],Cat_Codes,0))="No",0,tbl_Ledger[[#This Row],[Amount]]*GETFund_Rate)</f>
        <v>0</v>
      </c>
      <c r="N284" s="92">
        <f>tbl_Ledger[[#This Row],[Expected VAT]]+tbl_Ledger[[#This Row],[Expected NHIL]]+tbl_Ledger[[#This Row],[Expected GETFund]]</f>
        <v>0</v>
      </c>
      <c r="O284" s="92">
        <f>tbl_Ledger[[#This Row],[Amount]]+tbl_Ledger[[#This Row],[Tax Charged on Invoice]]</f>
        <v>35983</v>
      </c>
    </row>
    <row r="285" spans="1:15" x14ac:dyDescent="0.3">
      <c r="A285" s="11"/>
      <c r="B285" s="93">
        <v>278</v>
      </c>
      <c r="C285" s="94">
        <v>46247</v>
      </c>
      <c r="D285" s="95" t="s">
        <v>317</v>
      </c>
      <c r="E285" s="95" t="s">
        <v>318</v>
      </c>
      <c r="F285" s="96" t="s">
        <v>201</v>
      </c>
      <c r="G285" s="96" t="s">
        <v>205</v>
      </c>
      <c r="H285" s="97">
        <v>2941</v>
      </c>
      <c r="I285" s="96" t="s">
        <v>717</v>
      </c>
      <c r="J285" s="97">
        <v>0</v>
      </c>
      <c r="K285" s="92">
        <f>IF(INDEX(Cat_ChargesVAT,MATCH(tbl_Ledger[[#This Row],[Tax Category]],Cat_Codes,0))="No",0,tbl_Ledger[[#This Row],[Amount]]*VAT_Rate)</f>
        <v>0</v>
      </c>
      <c r="L285" s="92">
        <f>IF(INDEX(Cat_ChargesVAT,MATCH(tbl_Ledger[[#This Row],[Tax Category]],Cat_Codes,0))="No",0,tbl_Ledger[[#This Row],[Amount]]*NHIL_Rate)</f>
        <v>0</v>
      </c>
      <c r="M285" s="92">
        <f>IF(INDEX(Cat_ChargesVAT,MATCH(tbl_Ledger[[#This Row],[Tax Category]],Cat_Codes,0))="No",0,tbl_Ledger[[#This Row],[Amount]]*GETFund_Rate)</f>
        <v>0</v>
      </c>
      <c r="N285" s="92">
        <f>tbl_Ledger[[#This Row],[Expected VAT]]+tbl_Ledger[[#This Row],[Expected NHIL]]+tbl_Ledger[[#This Row],[Expected GETFund]]</f>
        <v>0</v>
      </c>
      <c r="O285" s="92">
        <f>tbl_Ledger[[#This Row],[Amount]]+tbl_Ledger[[#This Row],[Tax Charged on Invoice]]</f>
        <v>2941</v>
      </c>
    </row>
    <row r="286" spans="1:15" x14ac:dyDescent="0.3">
      <c r="A286" s="11"/>
      <c r="B286" s="93">
        <v>279</v>
      </c>
      <c r="C286" s="94">
        <v>46248</v>
      </c>
      <c r="D286" s="95" t="s">
        <v>718</v>
      </c>
      <c r="E286" s="95" t="s">
        <v>275</v>
      </c>
      <c r="F286" s="96" t="s">
        <v>201</v>
      </c>
      <c r="G286" s="96" t="s">
        <v>212</v>
      </c>
      <c r="H286" s="97">
        <v>16223</v>
      </c>
      <c r="I286" s="96" t="s">
        <v>719</v>
      </c>
      <c r="J286" s="97">
        <v>0</v>
      </c>
      <c r="K286" s="92">
        <f>IF(INDEX(Cat_ChargesVAT,MATCH(tbl_Ledger[[#This Row],[Tax Category]],Cat_Codes,0))="No",0,tbl_Ledger[[#This Row],[Amount]]*VAT_Rate)</f>
        <v>0</v>
      </c>
      <c r="L286" s="92">
        <f>IF(INDEX(Cat_ChargesVAT,MATCH(tbl_Ledger[[#This Row],[Tax Category]],Cat_Codes,0))="No",0,tbl_Ledger[[#This Row],[Amount]]*NHIL_Rate)</f>
        <v>0</v>
      </c>
      <c r="M286" s="92">
        <f>IF(INDEX(Cat_ChargesVAT,MATCH(tbl_Ledger[[#This Row],[Tax Category]],Cat_Codes,0))="No",0,tbl_Ledger[[#This Row],[Amount]]*GETFund_Rate)</f>
        <v>0</v>
      </c>
      <c r="N286" s="92">
        <f>tbl_Ledger[[#This Row],[Expected VAT]]+tbl_Ledger[[#This Row],[Expected NHIL]]+tbl_Ledger[[#This Row],[Expected GETFund]]</f>
        <v>0</v>
      </c>
      <c r="O286" s="92">
        <f>tbl_Ledger[[#This Row],[Amount]]+tbl_Ledger[[#This Row],[Tax Charged on Invoice]]</f>
        <v>16223</v>
      </c>
    </row>
    <row r="287" spans="1:15" x14ac:dyDescent="0.3">
      <c r="A287" s="11"/>
      <c r="B287" s="93">
        <v>280</v>
      </c>
      <c r="C287" s="94">
        <v>46249</v>
      </c>
      <c r="D287" s="95" t="s">
        <v>720</v>
      </c>
      <c r="E287" s="95" t="s">
        <v>278</v>
      </c>
      <c r="F287" s="96" t="s">
        <v>201</v>
      </c>
      <c r="G287" s="96" t="s">
        <v>212</v>
      </c>
      <c r="H287" s="97">
        <v>50077</v>
      </c>
      <c r="I287" s="96" t="s">
        <v>721</v>
      </c>
      <c r="J287" s="97">
        <v>0</v>
      </c>
      <c r="K287" s="92">
        <f>IF(INDEX(Cat_ChargesVAT,MATCH(tbl_Ledger[[#This Row],[Tax Category]],Cat_Codes,0))="No",0,tbl_Ledger[[#This Row],[Amount]]*VAT_Rate)</f>
        <v>0</v>
      </c>
      <c r="L287" s="92">
        <f>IF(INDEX(Cat_ChargesVAT,MATCH(tbl_Ledger[[#This Row],[Tax Category]],Cat_Codes,0))="No",0,tbl_Ledger[[#This Row],[Amount]]*NHIL_Rate)</f>
        <v>0</v>
      </c>
      <c r="M287" s="92">
        <f>IF(INDEX(Cat_ChargesVAT,MATCH(tbl_Ledger[[#This Row],[Tax Category]],Cat_Codes,0))="No",0,tbl_Ledger[[#This Row],[Amount]]*GETFund_Rate)</f>
        <v>0</v>
      </c>
      <c r="N287" s="92">
        <f>tbl_Ledger[[#This Row],[Expected VAT]]+tbl_Ledger[[#This Row],[Expected NHIL]]+tbl_Ledger[[#This Row],[Expected GETFund]]</f>
        <v>0</v>
      </c>
      <c r="O287" s="92">
        <f>tbl_Ledger[[#This Row],[Amount]]+tbl_Ledger[[#This Row],[Tax Charged on Invoice]]</f>
        <v>50077</v>
      </c>
    </row>
    <row r="288" spans="1:15" x14ac:dyDescent="0.3">
      <c r="A288" s="11"/>
      <c r="B288" s="93">
        <v>281</v>
      </c>
      <c r="C288" s="94">
        <v>46249</v>
      </c>
      <c r="D288" s="95" t="s">
        <v>722</v>
      </c>
      <c r="E288" s="95" t="s">
        <v>313</v>
      </c>
      <c r="F288" s="96" t="s">
        <v>182</v>
      </c>
      <c r="G288" s="96" t="s">
        <v>179</v>
      </c>
      <c r="H288" s="97">
        <v>43597</v>
      </c>
      <c r="I288" s="96" t="s">
        <v>723</v>
      </c>
      <c r="J288" s="97">
        <v>8719.4</v>
      </c>
      <c r="K288" s="92">
        <f>IF(INDEX(Cat_ChargesVAT,MATCH(tbl_Ledger[[#This Row],[Tax Category]],Cat_Codes,0))="No",0,tbl_Ledger[[#This Row],[Amount]]*VAT_Rate)</f>
        <v>6539.55</v>
      </c>
      <c r="L288" s="92">
        <f>IF(INDEX(Cat_ChargesVAT,MATCH(tbl_Ledger[[#This Row],[Tax Category]],Cat_Codes,0))="No",0,tbl_Ledger[[#This Row],[Amount]]*NHIL_Rate)</f>
        <v>1089.925</v>
      </c>
      <c r="M288" s="92">
        <f>IF(INDEX(Cat_ChargesVAT,MATCH(tbl_Ledger[[#This Row],[Tax Category]],Cat_Codes,0))="No",0,tbl_Ledger[[#This Row],[Amount]]*GETFund_Rate)</f>
        <v>1089.925</v>
      </c>
      <c r="N288" s="92">
        <f>tbl_Ledger[[#This Row],[Expected VAT]]+tbl_Ledger[[#This Row],[Expected NHIL]]+tbl_Ledger[[#This Row],[Expected GETFund]]</f>
        <v>8719.4</v>
      </c>
      <c r="O288" s="92">
        <f>tbl_Ledger[[#This Row],[Amount]]+tbl_Ledger[[#This Row],[Tax Charged on Invoice]]</f>
        <v>52316.4</v>
      </c>
    </row>
    <row r="289" spans="1:15" x14ac:dyDescent="0.3">
      <c r="A289" s="11"/>
      <c r="B289" s="93">
        <v>282</v>
      </c>
      <c r="C289" s="94">
        <v>46250</v>
      </c>
      <c r="D289" s="95" t="s">
        <v>397</v>
      </c>
      <c r="E289" s="95" t="s">
        <v>278</v>
      </c>
      <c r="F289" s="96" t="s">
        <v>201</v>
      </c>
      <c r="G289" s="96" t="s">
        <v>205</v>
      </c>
      <c r="H289" s="97">
        <v>1483</v>
      </c>
      <c r="I289" s="96" t="s">
        <v>724</v>
      </c>
      <c r="J289" s="97">
        <v>0</v>
      </c>
      <c r="K289" s="92">
        <f>IF(INDEX(Cat_ChargesVAT,MATCH(tbl_Ledger[[#This Row],[Tax Category]],Cat_Codes,0))="No",0,tbl_Ledger[[#This Row],[Amount]]*VAT_Rate)</f>
        <v>0</v>
      </c>
      <c r="L289" s="92">
        <f>IF(INDEX(Cat_ChargesVAT,MATCH(tbl_Ledger[[#This Row],[Tax Category]],Cat_Codes,0))="No",0,tbl_Ledger[[#This Row],[Amount]]*NHIL_Rate)</f>
        <v>0</v>
      </c>
      <c r="M289" s="92">
        <f>IF(INDEX(Cat_ChargesVAT,MATCH(tbl_Ledger[[#This Row],[Tax Category]],Cat_Codes,0))="No",0,tbl_Ledger[[#This Row],[Amount]]*GETFund_Rate)</f>
        <v>0</v>
      </c>
      <c r="N289" s="92">
        <f>tbl_Ledger[[#This Row],[Expected VAT]]+tbl_Ledger[[#This Row],[Expected NHIL]]+tbl_Ledger[[#This Row],[Expected GETFund]]</f>
        <v>0</v>
      </c>
      <c r="O289" s="92">
        <f>tbl_Ledger[[#This Row],[Amount]]+tbl_Ledger[[#This Row],[Tax Charged on Invoice]]</f>
        <v>1483</v>
      </c>
    </row>
    <row r="290" spans="1:15" x14ac:dyDescent="0.3">
      <c r="A290" s="11"/>
      <c r="B290" s="93">
        <v>283</v>
      </c>
      <c r="C290" s="94">
        <v>46251</v>
      </c>
      <c r="D290" s="95" t="s">
        <v>725</v>
      </c>
      <c r="E290" s="95" t="s">
        <v>516</v>
      </c>
      <c r="F290" s="96" t="s">
        <v>182</v>
      </c>
      <c r="G290" s="96" t="s">
        <v>179</v>
      </c>
      <c r="H290" s="97">
        <v>81966</v>
      </c>
      <c r="I290" s="96" t="s">
        <v>726</v>
      </c>
      <c r="J290" s="97">
        <v>16393.2</v>
      </c>
      <c r="K290" s="92">
        <f>IF(INDEX(Cat_ChargesVAT,MATCH(tbl_Ledger[[#This Row],[Tax Category]],Cat_Codes,0))="No",0,tbl_Ledger[[#This Row],[Amount]]*VAT_Rate)</f>
        <v>12294.9</v>
      </c>
      <c r="L290" s="92">
        <f>IF(INDEX(Cat_ChargesVAT,MATCH(tbl_Ledger[[#This Row],[Tax Category]],Cat_Codes,0))="No",0,tbl_Ledger[[#This Row],[Amount]]*NHIL_Rate)</f>
        <v>2049.15</v>
      </c>
      <c r="M290" s="92">
        <f>IF(INDEX(Cat_ChargesVAT,MATCH(tbl_Ledger[[#This Row],[Tax Category]],Cat_Codes,0))="No",0,tbl_Ledger[[#This Row],[Amount]]*GETFund_Rate)</f>
        <v>2049.15</v>
      </c>
      <c r="N290" s="92">
        <f>tbl_Ledger[[#This Row],[Expected VAT]]+tbl_Ledger[[#This Row],[Expected NHIL]]+tbl_Ledger[[#This Row],[Expected GETFund]]</f>
        <v>16393.2</v>
      </c>
      <c r="O290" s="92">
        <f>tbl_Ledger[[#This Row],[Amount]]+tbl_Ledger[[#This Row],[Tax Charged on Invoice]]</f>
        <v>98359.2</v>
      </c>
    </row>
    <row r="291" spans="1:15" x14ac:dyDescent="0.3">
      <c r="A291" s="11"/>
      <c r="B291" s="93">
        <v>284</v>
      </c>
      <c r="C291" s="94">
        <v>46253</v>
      </c>
      <c r="D291" s="95" t="s">
        <v>727</v>
      </c>
      <c r="E291" s="95" t="s">
        <v>350</v>
      </c>
      <c r="F291" s="96" t="s">
        <v>182</v>
      </c>
      <c r="G291" s="96" t="s">
        <v>179</v>
      </c>
      <c r="H291" s="97">
        <v>101028</v>
      </c>
      <c r="I291" s="96" t="s">
        <v>728</v>
      </c>
      <c r="J291" s="97">
        <v>20205.599999999999</v>
      </c>
      <c r="K291" s="92">
        <f>IF(INDEX(Cat_ChargesVAT,MATCH(tbl_Ledger[[#This Row],[Tax Category]],Cat_Codes,0))="No",0,tbl_Ledger[[#This Row],[Amount]]*VAT_Rate)</f>
        <v>15154.199999999999</v>
      </c>
      <c r="L291" s="92">
        <f>IF(INDEX(Cat_ChargesVAT,MATCH(tbl_Ledger[[#This Row],[Tax Category]],Cat_Codes,0))="No",0,tbl_Ledger[[#This Row],[Amount]]*NHIL_Rate)</f>
        <v>2525.7000000000003</v>
      </c>
      <c r="M291" s="92">
        <f>IF(INDEX(Cat_ChargesVAT,MATCH(tbl_Ledger[[#This Row],[Tax Category]],Cat_Codes,0))="No",0,tbl_Ledger[[#This Row],[Amount]]*GETFund_Rate)</f>
        <v>2525.7000000000003</v>
      </c>
      <c r="N291" s="92">
        <f>tbl_Ledger[[#This Row],[Expected VAT]]+tbl_Ledger[[#This Row],[Expected NHIL]]+tbl_Ledger[[#This Row],[Expected GETFund]]</f>
        <v>20205.599999999999</v>
      </c>
      <c r="O291" s="92">
        <f>tbl_Ledger[[#This Row],[Amount]]+tbl_Ledger[[#This Row],[Tax Charged on Invoice]]</f>
        <v>121233.60000000001</v>
      </c>
    </row>
    <row r="292" spans="1:15" x14ac:dyDescent="0.3">
      <c r="A292" s="11"/>
      <c r="B292" s="93">
        <v>285</v>
      </c>
      <c r="C292" s="94">
        <v>46254</v>
      </c>
      <c r="D292" s="95" t="s">
        <v>386</v>
      </c>
      <c r="E292" s="95" t="s">
        <v>453</v>
      </c>
      <c r="F292" s="96" t="s">
        <v>201</v>
      </c>
      <c r="G292" s="96" t="s">
        <v>205</v>
      </c>
      <c r="H292" s="97">
        <v>16341</v>
      </c>
      <c r="I292" s="96" t="s">
        <v>729</v>
      </c>
      <c r="J292" s="97">
        <v>0</v>
      </c>
      <c r="K292" s="92">
        <f>IF(INDEX(Cat_ChargesVAT,MATCH(tbl_Ledger[[#This Row],[Tax Category]],Cat_Codes,0))="No",0,tbl_Ledger[[#This Row],[Amount]]*VAT_Rate)</f>
        <v>0</v>
      </c>
      <c r="L292" s="92">
        <f>IF(INDEX(Cat_ChargesVAT,MATCH(tbl_Ledger[[#This Row],[Tax Category]],Cat_Codes,0))="No",0,tbl_Ledger[[#This Row],[Amount]]*NHIL_Rate)</f>
        <v>0</v>
      </c>
      <c r="M292" s="92">
        <f>IF(INDEX(Cat_ChargesVAT,MATCH(tbl_Ledger[[#This Row],[Tax Category]],Cat_Codes,0))="No",0,tbl_Ledger[[#This Row],[Amount]]*GETFund_Rate)</f>
        <v>0</v>
      </c>
      <c r="N292" s="92">
        <f>tbl_Ledger[[#This Row],[Expected VAT]]+tbl_Ledger[[#This Row],[Expected NHIL]]+tbl_Ledger[[#This Row],[Expected GETFund]]</f>
        <v>0</v>
      </c>
      <c r="O292" s="92">
        <f>tbl_Ledger[[#This Row],[Amount]]+tbl_Ledger[[#This Row],[Tax Charged on Invoice]]</f>
        <v>16341</v>
      </c>
    </row>
    <row r="293" spans="1:15" x14ac:dyDescent="0.3">
      <c r="A293" s="11"/>
      <c r="B293" s="93">
        <v>286</v>
      </c>
      <c r="C293" s="94">
        <v>46254</v>
      </c>
      <c r="D293" s="95" t="s">
        <v>730</v>
      </c>
      <c r="E293" s="95" t="s">
        <v>275</v>
      </c>
      <c r="F293" s="96" t="s">
        <v>201</v>
      </c>
      <c r="G293" s="96" t="s">
        <v>212</v>
      </c>
      <c r="H293" s="97">
        <v>60907</v>
      </c>
      <c r="I293" s="96" t="s">
        <v>731</v>
      </c>
      <c r="J293" s="97">
        <v>0</v>
      </c>
      <c r="K293" s="92">
        <f>IF(INDEX(Cat_ChargesVAT,MATCH(tbl_Ledger[[#This Row],[Tax Category]],Cat_Codes,0))="No",0,tbl_Ledger[[#This Row],[Amount]]*VAT_Rate)</f>
        <v>0</v>
      </c>
      <c r="L293" s="92">
        <f>IF(INDEX(Cat_ChargesVAT,MATCH(tbl_Ledger[[#This Row],[Tax Category]],Cat_Codes,0))="No",0,tbl_Ledger[[#This Row],[Amount]]*NHIL_Rate)</f>
        <v>0</v>
      </c>
      <c r="M293" s="92">
        <f>IF(INDEX(Cat_ChargesVAT,MATCH(tbl_Ledger[[#This Row],[Tax Category]],Cat_Codes,0))="No",0,tbl_Ledger[[#This Row],[Amount]]*GETFund_Rate)</f>
        <v>0</v>
      </c>
      <c r="N293" s="92">
        <f>tbl_Ledger[[#This Row],[Expected VAT]]+tbl_Ledger[[#This Row],[Expected NHIL]]+tbl_Ledger[[#This Row],[Expected GETFund]]</f>
        <v>0</v>
      </c>
      <c r="O293" s="92">
        <f>tbl_Ledger[[#This Row],[Amount]]+tbl_Ledger[[#This Row],[Tax Charged on Invoice]]</f>
        <v>60907</v>
      </c>
    </row>
    <row r="294" spans="1:15" x14ac:dyDescent="0.3">
      <c r="A294" s="11"/>
      <c r="B294" s="93">
        <v>287</v>
      </c>
      <c r="C294" s="94">
        <v>46254</v>
      </c>
      <c r="D294" s="95" t="s">
        <v>584</v>
      </c>
      <c r="E294" s="95" t="s">
        <v>250</v>
      </c>
      <c r="F294" s="96" t="s">
        <v>182</v>
      </c>
      <c r="G294" s="96" t="s">
        <v>179</v>
      </c>
      <c r="H294" s="97">
        <v>75598</v>
      </c>
      <c r="I294" s="96" t="s">
        <v>732</v>
      </c>
      <c r="J294" s="97">
        <v>15119.6</v>
      </c>
      <c r="K294" s="92">
        <f>IF(INDEX(Cat_ChargesVAT,MATCH(tbl_Ledger[[#This Row],[Tax Category]],Cat_Codes,0))="No",0,tbl_Ledger[[#This Row],[Amount]]*VAT_Rate)</f>
        <v>11339.699999999999</v>
      </c>
      <c r="L294" s="92">
        <f>IF(INDEX(Cat_ChargesVAT,MATCH(tbl_Ledger[[#This Row],[Tax Category]],Cat_Codes,0))="No",0,tbl_Ledger[[#This Row],[Amount]]*NHIL_Rate)</f>
        <v>1889.95</v>
      </c>
      <c r="M294" s="92">
        <f>IF(INDEX(Cat_ChargesVAT,MATCH(tbl_Ledger[[#This Row],[Tax Category]],Cat_Codes,0))="No",0,tbl_Ledger[[#This Row],[Amount]]*GETFund_Rate)</f>
        <v>1889.95</v>
      </c>
      <c r="N294" s="92">
        <f>tbl_Ledger[[#This Row],[Expected VAT]]+tbl_Ledger[[#This Row],[Expected NHIL]]+tbl_Ledger[[#This Row],[Expected GETFund]]</f>
        <v>15119.6</v>
      </c>
      <c r="O294" s="92">
        <f>tbl_Ledger[[#This Row],[Amount]]+tbl_Ledger[[#This Row],[Tax Charged on Invoice]]</f>
        <v>90717.6</v>
      </c>
    </row>
    <row r="295" spans="1:15" x14ac:dyDescent="0.3">
      <c r="A295" s="11"/>
      <c r="B295" s="93">
        <v>288</v>
      </c>
      <c r="C295" s="94">
        <v>46255</v>
      </c>
      <c r="D295" s="95" t="s">
        <v>541</v>
      </c>
      <c r="E295" s="95" t="s">
        <v>429</v>
      </c>
      <c r="F295" s="96" t="s">
        <v>201</v>
      </c>
      <c r="G295" s="96" t="s">
        <v>199</v>
      </c>
      <c r="H295" s="97">
        <v>25232</v>
      </c>
      <c r="I295" s="96" t="s">
        <v>733</v>
      </c>
      <c r="J295" s="97">
        <v>5046.3999999999996</v>
      </c>
      <c r="K295" s="92">
        <f>IF(INDEX(Cat_ChargesVAT,MATCH(tbl_Ledger[[#This Row],[Tax Category]],Cat_Codes,0))="No",0,tbl_Ledger[[#This Row],[Amount]]*VAT_Rate)</f>
        <v>3784.7999999999997</v>
      </c>
      <c r="L295" s="92">
        <f>IF(INDEX(Cat_ChargesVAT,MATCH(tbl_Ledger[[#This Row],[Tax Category]],Cat_Codes,0))="No",0,tbl_Ledger[[#This Row],[Amount]]*NHIL_Rate)</f>
        <v>630.80000000000007</v>
      </c>
      <c r="M295" s="92">
        <f>IF(INDEX(Cat_ChargesVAT,MATCH(tbl_Ledger[[#This Row],[Tax Category]],Cat_Codes,0))="No",0,tbl_Ledger[[#This Row],[Amount]]*GETFund_Rate)</f>
        <v>630.80000000000007</v>
      </c>
      <c r="N295" s="92">
        <f>tbl_Ledger[[#This Row],[Expected VAT]]+tbl_Ledger[[#This Row],[Expected NHIL]]+tbl_Ledger[[#This Row],[Expected GETFund]]</f>
        <v>5046.3999999999996</v>
      </c>
      <c r="O295" s="92">
        <f>tbl_Ledger[[#This Row],[Amount]]+tbl_Ledger[[#This Row],[Tax Charged on Invoice]]</f>
        <v>30278.400000000001</v>
      </c>
    </row>
    <row r="296" spans="1:15" x14ac:dyDescent="0.3">
      <c r="A296" s="11"/>
      <c r="B296" s="93">
        <v>289</v>
      </c>
      <c r="C296" s="94">
        <v>46256</v>
      </c>
      <c r="D296" s="95" t="s">
        <v>734</v>
      </c>
      <c r="E296" s="95" t="s">
        <v>268</v>
      </c>
      <c r="F296" s="96" t="s">
        <v>201</v>
      </c>
      <c r="G296" s="96" t="s">
        <v>205</v>
      </c>
      <c r="H296" s="97">
        <v>30921</v>
      </c>
      <c r="I296" s="96" t="s">
        <v>735</v>
      </c>
      <c r="J296" s="97">
        <v>0</v>
      </c>
      <c r="K296" s="92">
        <f>IF(INDEX(Cat_ChargesVAT,MATCH(tbl_Ledger[[#This Row],[Tax Category]],Cat_Codes,0))="No",0,tbl_Ledger[[#This Row],[Amount]]*VAT_Rate)</f>
        <v>0</v>
      </c>
      <c r="L296" s="92">
        <f>IF(INDEX(Cat_ChargesVAT,MATCH(tbl_Ledger[[#This Row],[Tax Category]],Cat_Codes,0))="No",0,tbl_Ledger[[#This Row],[Amount]]*NHIL_Rate)</f>
        <v>0</v>
      </c>
      <c r="M296" s="92">
        <f>IF(INDEX(Cat_ChargesVAT,MATCH(tbl_Ledger[[#This Row],[Tax Category]],Cat_Codes,0))="No",0,tbl_Ledger[[#This Row],[Amount]]*GETFund_Rate)</f>
        <v>0</v>
      </c>
      <c r="N296" s="92">
        <f>tbl_Ledger[[#This Row],[Expected VAT]]+tbl_Ledger[[#This Row],[Expected NHIL]]+tbl_Ledger[[#This Row],[Expected GETFund]]</f>
        <v>0</v>
      </c>
      <c r="O296" s="92">
        <f>tbl_Ledger[[#This Row],[Amount]]+tbl_Ledger[[#This Row],[Tax Charged on Invoice]]</f>
        <v>30921</v>
      </c>
    </row>
    <row r="297" spans="1:15" x14ac:dyDescent="0.3">
      <c r="A297" s="11"/>
      <c r="B297" s="93">
        <v>290</v>
      </c>
      <c r="C297" s="94">
        <v>46258</v>
      </c>
      <c r="D297" s="95" t="s">
        <v>736</v>
      </c>
      <c r="E297" s="95" t="s">
        <v>516</v>
      </c>
      <c r="F297" s="96" t="s">
        <v>182</v>
      </c>
      <c r="G297" s="96" t="s">
        <v>179</v>
      </c>
      <c r="H297" s="97">
        <v>66349</v>
      </c>
      <c r="I297" s="96" t="s">
        <v>737</v>
      </c>
      <c r="J297" s="97">
        <v>13269.8</v>
      </c>
      <c r="K297" s="92">
        <f>IF(INDEX(Cat_ChargesVAT,MATCH(tbl_Ledger[[#This Row],[Tax Category]],Cat_Codes,0))="No",0,tbl_Ledger[[#This Row],[Amount]]*VAT_Rate)</f>
        <v>9952.35</v>
      </c>
      <c r="L297" s="92">
        <f>IF(INDEX(Cat_ChargesVAT,MATCH(tbl_Ledger[[#This Row],[Tax Category]],Cat_Codes,0))="No",0,tbl_Ledger[[#This Row],[Amount]]*NHIL_Rate)</f>
        <v>1658.7250000000001</v>
      </c>
      <c r="M297" s="92">
        <f>IF(INDEX(Cat_ChargesVAT,MATCH(tbl_Ledger[[#This Row],[Tax Category]],Cat_Codes,0))="No",0,tbl_Ledger[[#This Row],[Amount]]*GETFund_Rate)</f>
        <v>1658.7250000000001</v>
      </c>
      <c r="N297" s="92">
        <f>tbl_Ledger[[#This Row],[Expected VAT]]+tbl_Ledger[[#This Row],[Expected NHIL]]+tbl_Ledger[[#This Row],[Expected GETFund]]</f>
        <v>13269.800000000001</v>
      </c>
      <c r="O297" s="92">
        <f>tbl_Ledger[[#This Row],[Amount]]+tbl_Ledger[[#This Row],[Tax Charged on Invoice]]</f>
        <v>79618.8</v>
      </c>
    </row>
    <row r="298" spans="1:15" x14ac:dyDescent="0.3">
      <c r="A298" s="11"/>
      <c r="B298" s="93">
        <v>291</v>
      </c>
      <c r="C298" s="94">
        <v>46259</v>
      </c>
      <c r="D298" s="95" t="s">
        <v>738</v>
      </c>
      <c r="E298" s="95" t="s">
        <v>288</v>
      </c>
      <c r="F298" s="96" t="s">
        <v>182</v>
      </c>
      <c r="G298" s="96" t="s">
        <v>179</v>
      </c>
      <c r="H298" s="97">
        <v>37867</v>
      </c>
      <c r="I298" s="96" t="s">
        <v>739</v>
      </c>
      <c r="J298" s="97">
        <v>7573.4</v>
      </c>
      <c r="K298" s="92">
        <f>IF(INDEX(Cat_ChargesVAT,MATCH(tbl_Ledger[[#This Row],[Tax Category]],Cat_Codes,0))="No",0,tbl_Ledger[[#This Row],[Amount]]*VAT_Rate)</f>
        <v>5680.05</v>
      </c>
      <c r="L298" s="92">
        <f>IF(INDEX(Cat_ChargesVAT,MATCH(tbl_Ledger[[#This Row],[Tax Category]],Cat_Codes,0))="No",0,tbl_Ledger[[#This Row],[Amount]]*NHIL_Rate)</f>
        <v>946.67500000000007</v>
      </c>
      <c r="M298" s="92">
        <f>IF(INDEX(Cat_ChargesVAT,MATCH(tbl_Ledger[[#This Row],[Tax Category]],Cat_Codes,0))="No",0,tbl_Ledger[[#This Row],[Amount]]*GETFund_Rate)</f>
        <v>946.67500000000007</v>
      </c>
      <c r="N298" s="92">
        <f>tbl_Ledger[[#This Row],[Expected VAT]]+tbl_Ledger[[#This Row],[Expected NHIL]]+tbl_Ledger[[#This Row],[Expected GETFund]]</f>
        <v>7573.4000000000005</v>
      </c>
      <c r="O298" s="92">
        <f>tbl_Ledger[[#This Row],[Amount]]+tbl_Ledger[[#This Row],[Tax Charged on Invoice]]</f>
        <v>45440.4</v>
      </c>
    </row>
    <row r="299" spans="1:15" x14ac:dyDescent="0.3">
      <c r="A299" s="11"/>
      <c r="B299" s="93">
        <v>292</v>
      </c>
      <c r="C299" s="94">
        <v>46261</v>
      </c>
      <c r="D299" s="95" t="s">
        <v>740</v>
      </c>
      <c r="E299" s="95" t="s">
        <v>268</v>
      </c>
      <c r="F299" s="96" t="s">
        <v>201</v>
      </c>
      <c r="G299" s="96" t="s">
        <v>205</v>
      </c>
      <c r="H299" s="97">
        <v>82176</v>
      </c>
      <c r="I299" s="96" t="s">
        <v>741</v>
      </c>
      <c r="J299" s="97">
        <v>0</v>
      </c>
      <c r="K299" s="92">
        <f>IF(INDEX(Cat_ChargesVAT,MATCH(tbl_Ledger[[#This Row],[Tax Category]],Cat_Codes,0))="No",0,tbl_Ledger[[#This Row],[Amount]]*VAT_Rate)</f>
        <v>0</v>
      </c>
      <c r="L299" s="92">
        <f>IF(INDEX(Cat_ChargesVAT,MATCH(tbl_Ledger[[#This Row],[Tax Category]],Cat_Codes,0))="No",0,tbl_Ledger[[#This Row],[Amount]]*NHIL_Rate)</f>
        <v>0</v>
      </c>
      <c r="M299" s="92">
        <f>IF(INDEX(Cat_ChargesVAT,MATCH(tbl_Ledger[[#This Row],[Tax Category]],Cat_Codes,0))="No",0,tbl_Ledger[[#This Row],[Amount]]*GETFund_Rate)</f>
        <v>0</v>
      </c>
      <c r="N299" s="92">
        <f>tbl_Ledger[[#This Row],[Expected VAT]]+tbl_Ledger[[#This Row],[Expected NHIL]]+tbl_Ledger[[#This Row],[Expected GETFund]]</f>
        <v>0</v>
      </c>
      <c r="O299" s="92">
        <f>tbl_Ledger[[#This Row],[Amount]]+tbl_Ledger[[#This Row],[Tax Charged on Invoice]]</f>
        <v>82176</v>
      </c>
    </row>
    <row r="300" spans="1:15" x14ac:dyDescent="0.3">
      <c r="A300" s="11"/>
      <c r="B300" s="93">
        <v>293</v>
      </c>
      <c r="C300" s="94">
        <v>46261</v>
      </c>
      <c r="D300" s="95" t="s">
        <v>616</v>
      </c>
      <c r="E300" s="95" t="s">
        <v>294</v>
      </c>
      <c r="F300" s="96" t="s">
        <v>182</v>
      </c>
      <c r="G300" s="96" t="s">
        <v>179</v>
      </c>
      <c r="H300" s="97">
        <v>73754</v>
      </c>
      <c r="I300" s="96" t="s">
        <v>742</v>
      </c>
      <c r="J300" s="97">
        <v>14750.8</v>
      </c>
      <c r="K300" s="92">
        <f>IF(INDEX(Cat_ChargesVAT,MATCH(tbl_Ledger[[#This Row],[Tax Category]],Cat_Codes,0))="No",0,tbl_Ledger[[#This Row],[Amount]]*VAT_Rate)</f>
        <v>11063.1</v>
      </c>
      <c r="L300" s="92">
        <f>IF(INDEX(Cat_ChargesVAT,MATCH(tbl_Ledger[[#This Row],[Tax Category]],Cat_Codes,0))="No",0,tbl_Ledger[[#This Row],[Amount]]*NHIL_Rate)</f>
        <v>1843.8500000000001</v>
      </c>
      <c r="M300" s="92">
        <f>IF(INDEX(Cat_ChargesVAT,MATCH(tbl_Ledger[[#This Row],[Tax Category]],Cat_Codes,0))="No",0,tbl_Ledger[[#This Row],[Amount]]*GETFund_Rate)</f>
        <v>1843.8500000000001</v>
      </c>
      <c r="N300" s="92">
        <f>tbl_Ledger[[#This Row],[Expected VAT]]+tbl_Ledger[[#This Row],[Expected NHIL]]+tbl_Ledger[[#This Row],[Expected GETFund]]</f>
        <v>14750.800000000001</v>
      </c>
      <c r="O300" s="92">
        <f>tbl_Ledger[[#This Row],[Amount]]+tbl_Ledger[[#This Row],[Tax Charged on Invoice]]</f>
        <v>88504.8</v>
      </c>
    </row>
    <row r="301" spans="1:15" x14ac:dyDescent="0.3">
      <c r="A301" s="11"/>
      <c r="B301" s="93">
        <v>294</v>
      </c>
      <c r="C301" s="94">
        <v>46262</v>
      </c>
      <c r="D301" s="95" t="s">
        <v>743</v>
      </c>
      <c r="E301" s="95" t="s">
        <v>516</v>
      </c>
      <c r="F301" s="96" t="s">
        <v>182</v>
      </c>
      <c r="G301" s="96" t="s">
        <v>179</v>
      </c>
      <c r="H301" s="97">
        <v>73730</v>
      </c>
      <c r="I301" s="96" t="s">
        <v>744</v>
      </c>
      <c r="J301" s="97">
        <v>14746</v>
      </c>
      <c r="K301" s="92">
        <f>IF(INDEX(Cat_ChargesVAT,MATCH(tbl_Ledger[[#This Row],[Tax Category]],Cat_Codes,0))="No",0,tbl_Ledger[[#This Row],[Amount]]*VAT_Rate)</f>
        <v>11059.5</v>
      </c>
      <c r="L301" s="92">
        <f>IF(INDEX(Cat_ChargesVAT,MATCH(tbl_Ledger[[#This Row],[Tax Category]],Cat_Codes,0))="No",0,tbl_Ledger[[#This Row],[Amount]]*NHIL_Rate)</f>
        <v>1843.25</v>
      </c>
      <c r="M301" s="92">
        <f>IF(INDEX(Cat_ChargesVAT,MATCH(tbl_Ledger[[#This Row],[Tax Category]],Cat_Codes,0))="No",0,tbl_Ledger[[#This Row],[Amount]]*GETFund_Rate)</f>
        <v>1843.25</v>
      </c>
      <c r="N301" s="92">
        <f>tbl_Ledger[[#This Row],[Expected VAT]]+tbl_Ledger[[#This Row],[Expected NHIL]]+tbl_Ledger[[#This Row],[Expected GETFund]]</f>
        <v>14746</v>
      </c>
      <c r="O301" s="92">
        <f>tbl_Ledger[[#This Row],[Amount]]+tbl_Ledger[[#This Row],[Tax Charged on Invoice]]</f>
        <v>88476</v>
      </c>
    </row>
    <row r="302" spans="1:15" x14ac:dyDescent="0.3">
      <c r="A302" s="11"/>
      <c r="B302" s="93">
        <v>295</v>
      </c>
      <c r="C302" s="94">
        <v>46263</v>
      </c>
      <c r="D302" s="95" t="s">
        <v>255</v>
      </c>
      <c r="E302" s="95" t="s">
        <v>322</v>
      </c>
      <c r="F302" s="96" t="s">
        <v>201</v>
      </c>
      <c r="G302" s="96" t="s">
        <v>199</v>
      </c>
      <c r="H302" s="97">
        <v>1045</v>
      </c>
      <c r="I302" s="96" t="s">
        <v>745</v>
      </c>
      <c r="J302" s="97">
        <v>209</v>
      </c>
      <c r="K302" s="92">
        <f>IF(INDEX(Cat_ChargesVAT,MATCH(tbl_Ledger[[#This Row],[Tax Category]],Cat_Codes,0))="No",0,tbl_Ledger[[#This Row],[Amount]]*VAT_Rate)</f>
        <v>156.75</v>
      </c>
      <c r="L302" s="92">
        <f>IF(INDEX(Cat_ChargesVAT,MATCH(tbl_Ledger[[#This Row],[Tax Category]],Cat_Codes,0))="No",0,tbl_Ledger[[#This Row],[Amount]]*NHIL_Rate)</f>
        <v>26.125</v>
      </c>
      <c r="M302" s="92">
        <f>IF(INDEX(Cat_ChargesVAT,MATCH(tbl_Ledger[[#This Row],[Tax Category]],Cat_Codes,0))="No",0,tbl_Ledger[[#This Row],[Amount]]*GETFund_Rate)</f>
        <v>26.125</v>
      </c>
      <c r="N302" s="92">
        <f>tbl_Ledger[[#This Row],[Expected VAT]]+tbl_Ledger[[#This Row],[Expected NHIL]]+tbl_Ledger[[#This Row],[Expected GETFund]]</f>
        <v>209</v>
      </c>
      <c r="O302" s="92">
        <f>tbl_Ledger[[#This Row],[Amount]]+tbl_Ledger[[#This Row],[Tax Charged on Invoice]]</f>
        <v>1254</v>
      </c>
    </row>
    <row r="303" spans="1:15" x14ac:dyDescent="0.3">
      <c r="A303" s="11"/>
      <c r="B303" s="93">
        <v>296</v>
      </c>
      <c r="C303" s="94">
        <v>46264</v>
      </c>
      <c r="D303" s="95" t="s">
        <v>397</v>
      </c>
      <c r="E303" s="95" t="s">
        <v>318</v>
      </c>
      <c r="F303" s="96" t="s">
        <v>201</v>
      </c>
      <c r="G303" s="96" t="s">
        <v>205</v>
      </c>
      <c r="H303" s="97">
        <v>3220</v>
      </c>
      <c r="I303" s="96" t="s">
        <v>746</v>
      </c>
      <c r="J303" s="97">
        <v>0</v>
      </c>
      <c r="K303" s="92">
        <f>IF(INDEX(Cat_ChargesVAT,MATCH(tbl_Ledger[[#This Row],[Tax Category]],Cat_Codes,0))="No",0,tbl_Ledger[[#This Row],[Amount]]*VAT_Rate)</f>
        <v>0</v>
      </c>
      <c r="L303" s="92">
        <f>IF(INDEX(Cat_ChargesVAT,MATCH(tbl_Ledger[[#This Row],[Tax Category]],Cat_Codes,0))="No",0,tbl_Ledger[[#This Row],[Amount]]*NHIL_Rate)</f>
        <v>0</v>
      </c>
      <c r="M303" s="92">
        <f>IF(INDEX(Cat_ChargesVAT,MATCH(tbl_Ledger[[#This Row],[Tax Category]],Cat_Codes,0))="No",0,tbl_Ledger[[#This Row],[Amount]]*GETFund_Rate)</f>
        <v>0</v>
      </c>
      <c r="N303" s="92">
        <f>tbl_Ledger[[#This Row],[Expected VAT]]+tbl_Ledger[[#This Row],[Expected NHIL]]+tbl_Ledger[[#This Row],[Expected GETFund]]</f>
        <v>0</v>
      </c>
      <c r="O303" s="92">
        <f>tbl_Ledger[[#This Row],[Amount]]+tbl_Ledger[[#This Row],[Tax Charged on Invoice]]</f>
        <v>3220</v>
      </c>
    </row>
    <row r="304" spans="1:15" x14ac:dyDescent="0.3">
      <c r="A304" s="11"/>
      <c r="B304" s="93">
        <v>297</v>
      </c>
      <c r="C304" s="94">
        <v>46264</v>
      </c>
      <c r="D304" s="95" t="s">
        <v>536</v>
      </c>
      <c r="E304" s="95" t="s">
        <v>330</v>
      </c>
      <c r="F304" s="96" t="s">
        <v>201</v>
      </c>
      <c r="G304" s="96" t="s">
        <v>205</v>
      </c>
      <c r="H304" s="97">
        <v>25251</v>
      </c>
      <c r="I304" s="96" t="s">
        <v>747</v>
      </c>
      <c r="J304" s="97">
        <v>0</v>
      </c>
      <c r="K304" s="92">
        <f>IF(INDEX(Cat_ChargesVAT,MATCH(tbl_Ledger[[#This Row],[Tax Category]],Cat_Codes,0))="No",0,tbl_Ledger[[#This Row],[Amount]]*VAT_Rate)</f>
        <v>0</v>
      </c>
      <c r="L304" s="92">
        <f>IF(INDEX(Cat_ChargesVAT,MATCH(tbl_Ledger[[#This Row],[Tax Category]],Cat_Codes,0))="No",0,tbl_Ledger[[#This Row],[Amount]]*NHIL_Rate)</f>
        <v>0</v>
      </c>
      <c r="M304" s="92">
        <f>IF(INDEX(Cat_ChargesVAT,MATCH(tbl_Ledger[[#This Row],[Tax Category]],Cat_Codes,0))="No",0,tbl_Ledger[[#This Row],[Amount]]*GETFund_Rate)</f>
        <v>0</v>
      </c>
      <c r="N304" s="92">
        <f>tbl_Ledger[[#This Row],[Expected VAT]]+tbl_Ledger[[#This Row],[Expected NHIL]]+tbl_Ledger[[#This Row],[Expected GETFund]]</f>
        <v>0</v>
      </c>
      <c r="O304" s="92">
        <f>tbl_Ledger[[#This Row],[Amount]]+tbl_Ledger[[#This Row],[Tax Charged on Invoice]]</f>
        <v>25251</v>
      </c>
    </row>
    <row r="305" spans="1:15" x14ac:dyDescent="0.3">
      <c r="A305" s="11"/>
      <c r="B305" s="93">
        <v>298</v>
      </c>
      <c r="C305" s="94">
        <v>46265</v>
      </c>
      <c r="D305" s="95" t="s">
        <v>280</v>
      </c>
      <c r="E305" s="95" t="s">
        <v>291</v>
      </c>
      <c r="F305" s="96" t="s">
        <v>201</v>
      </c>
      <c r="G305" s="96" t="s">
        <v>199</v>
      </c>
      <c r="H305" s="97">
        <v>30395</v>
      </c>
      <c r="I305" s="96" t="s">
        <v>748</v>
      </c>
      <c r="J305" s="97">
        <v>6079</v>
      </c>
      <c r="K305" s="92">
        <f>IF(INDEX(Cat_ChargesVAT,MATCH(tbl_Ledger[[#This Row],[Tax Category]],Cat_Codes,0))="No",0,tbl_Ledger[[#This Row],[Amount]]*VAT_Rate)</f>
        <v>4559.25</v>
      </c>
      <c r="L305" s="92">
        <f>IF(INDEX(Cat_ChargesVAT,MATCH(tbl_Ledger[[#This Row],[Tax Category]],Cat_Codes,0))="No",0,tbl_Ledger[[#This Row],[Amount]]*NHIL_Rate)</f>
        <v>759.875</v>
      </c>
      <c r="M305" s="92">
        <f>IF(INDEX(Cat_ChargesVAT,MATCH(tbl_Ledger[[#This Row],[Tax Category]],Cat_Codes,0))="No",0,tbl_Ledger[[#This Row],[Amount]]*GETFund_Rate)</f>
        <v>759.875</v>
      </c>
      <c r="N305" s="92">
        <f>tbl_Ledger[[#This Row],[Expected VAT]]+tbl_Ledger[[#This Row],[Expected NHIL]]+tbl_Ledger[[#This Row],[Expected GETFund]]</f>
        <v>6079</v>
      </c>
      <c r="O305" s="92">
        <f>tbl_Ledger[[#This Row],[Amount]]+tbl_Ledger[[#This Row],[Tax Charged on Invoice]]</f>
        <v>36474</v>
      </c>
    </row>
    <row r="306" spans="1:15" x14ac:dyDescent="0.3">
      <c r="A306" s="11"/>
      <c r="B306" s="93">
        <v>299</v>
      </c>
      <c r="C306" s="94">
        <v>46265</v>
      </c>
      <c r="D306" s="95" t="s">
        <v>749</v>
      </c>
      <c r="E306" s="95" t="s">
        <v>345</v>
      </c>
      <c r="F306" s="96" t="s">
        <v>201</v>
      </c>
      <c r="G306" s="96" t="s">
        <v>212</v>
      </c>
      <c r="H306" s="97">
        <v>89907</v>
      </c>
      <c r="I306" s="96" t="s">
        <v>750</v>
      </c>
      <c r="J306" s="97">
        <v>0</v>
      </c>
      <c r="K306" s="92">
        <f>IF(INDEX(Cat_ChargesVAT,MATCH(tbl_Ledger[[#This Row],[Tax Category]],Cat_Codes,0))="No",0,tbl_Ledger[[#This Row],[Amount]]*VAT_Rate)</f>
        <v>0</v>
      </c>
      <c r="L306" s="92">
        <f>IF(INDEX(Cat_ChargesVAT,MATCH(tbl_Ledger[[#This Row],[Tax Category]],Cat_Codes,0))="No",0,tbl_Ledger[[#This Row],[Amount]]*NHIL_Rate)</f>
        <v>0</v>
      </c>
      <c r="M306" s="92">
        <f>IF(INDEX(Cat_ChargesVAT,MATCH(tbl_Ledger[[#This Row],[Tax Category]],Cat_Codes,0))="No",0,tbl_Ledger[[#This Row],[Amount]]*GETFund_Rate)</f>
        <v>0</v>
      </c>
      <c r="N306" s="92">
        <f>tbl_Ledger[[#This Row],[Expected VAT]]+tbl_Ledger[[#This Row],[Expected NHIL]]+tbl_Ledger[[#This Row],[Expected GETFund]]</f>
        <v>0</v>
      </c>
      <c r="O306" s="92">
        <f>tbl_Ledger[[#This Row],[Amount]]+tbl_Ledger[[#This Row],[Tax Charged on Invoice]]</f>
        <v>89907</v>
      </c>
    </row>
    <row r="307" spans="1:15" x14ac:dyDescent="0.3">
      <c r="A307" s="11"/>
      <c r="B307" s="93">
        <v>300</v>
      </c>
      <c r="C307" s="94">
        <v>46265</v>
      </c>
      <c r="D307" s="95" t="s">
        <v>665</v>
      </c>
      <c r="E307" s="95" t="s">
        <v>250</v>
      </c>
      <c r="F307" s="96" t="s">
        <v>182</v>
      </c>
      <c r="G307" s="96" t="s">
        <v>179</v>
      </c>
      <c r="H307" s="97">
        <v>33337</v>
      </c>
      <c r="I307" s="96" t="s">
        <v>751</v>
      </c>
      <c r="J307" s="97">
        <v>6667.4</v>
      </c>
      <c r="K307" s="92">
        <f>IF(INDEX(Cat_ChargesVAT,MATCH(tbl_Ledger[[#This Row],[Tax Category]],Cat_Codes,0))="No",0,tbl_Ledger[[#This Row],[Amount]]*VAT_Rate)</f>
        <v>5000.55</v>
      </c>
      <c r="L307" s="92">
        <f>IF(INDEX(Cat_ChargesVAT,MATCH(tbl_Ledger[[#This Row],[Tax Category]],Cat_Codes,0))="No",0,tbl_Ledger[[#This Row],[Amount]]*NHIL_Rate)</f>
        <v>833.42500000000007</v>
      </c>
      <c r="M307" s="92">
        <f>IF(INDEX(Cat_ChargesVAT,MATCH(tbl_Ledger[[#This Row],[Tax Category]],Cat_Codes,0))="No",0,tbl_Ledger[[#This Row],[Amount]]*GETFund_Rate)</f>
        <v>833.42500000000007</v>
      </c>
      <c r="N307" s="92">
        <f>tbl_Ledger[[#This Row],[Expected VAT]]+tbl_Ledger[[#This Row],[Expected NHIL]]+tbl_Ledger[[#This Row],[Expected GETFund]]</f>
        <v>6667.4000000000005</v>
      </c>
      <c r="O307" s="92">
        <f>tbl_Ledger[[#This Row],[Amount]]+tbl_Ledger[[#This Row],[Tax Charged on Invoice]]</f>
        <v>40004.400000000001</v>
      </c>
    </row>
    <row r="308" spans="1:15" x14ac:dyDescent="0.3">
      <c r="A308" s="11"/>
      <c r="B308" s="11"/>
      <c r="C308" s="11"/>
      <c r="D308" s="11"/>
      <c r="E308" s="11"/>
      <c r="F308" s="11"/>
      <c r="G308" s="11"/>
      <c r="H308" s="11"/>
      <c r="I308" s="11"/>
      <c r="J308" s="11"/>
      <c r="K308" s="11"/>
      <c r="L308" s="11"/>
      <c r="M308" s="11"/>
      <c r="N308" s="11"/>
      <c r="O308" s="11"/>
    </row>
    <row r="309" spans="1:15" x14ac:dyDescent="0.3">
      <c r="A309" s="11"/>
      <c r="B309" s="11"/>
      <c r="C309" s="11"/>
      <c r="D309" s="11"/>
      <c r="E309" s="11"/>
      <c r="F309" s="11"/>
      <c r="G309" s="11"/>
      <c r="H309" s="11"/>
      <c r="I309" s="11"/>
      <c r="J309" s="11"/>
      <c r="K309" s="11"/>
      <c r="L309" s="11"/>
      <c r="M309" s="11"/>
      <c r="N309" s="11"/>
      <c r="O309" s="11"/>
    </row>
    <row r="310" spans="1:15" x14ac:dyDescent="0.3">
      <c r="A310" s="11"/>
      <c r="B310" s="11"/>
      <c r="C310" s="11"/>
      <c r="D310" s="11"/>
      <c r="E310" s="11"/>
      <c r="F310" s="11"/>
      <c r="G310" s="11"/>
      <c r="H310" s="11"/>
      <c r="I310" s="11"/>
      <c r="J310" s="11"/>
      <c r="K310" s="11"/>
      <c r="L310" s="11"/>
      <c r="M310" s="11"/>
      <c r="N310" s="11"/>
      <c r="O310" s="11"/>
    </row>
    <row r="311" spans="1:15" x14ac:dyDescent="0.3">
      <c r="A311" s="11"/>
      <c r="B311" s="11"/>
      <c r="C311" s="11"/>
      <c r="D311" s="11"/>
      <c r="E311" s="11"/>
      <c r="F311" s="11"/>
      <c r="G311" s="11"/>
      <c r="H311" s="11"/>
      <c r="I311" s="11"/>
      <c r="J311" s="11"/>
      <c r="K311" s="11"/>
      <c r="L311" s="11"/>
      <c r="M311" s="11"/>
      <c r="N311" s="11"/>
      <c r="O311" s="11"/>
    </row>
    <row r="312" spans="1:15" x14ac:dyDescent="0.3">
      <c r="A312" s="11"/>
      <c r="B312" s="11"/>
      <c r="C312" s="11"/>
      <c r="D312" s="11"/>
      <c r="E312" s="11"/>
      <c r="F312" s="11"/>
      <c r="G312" s="11"/>
      <c r="H312" s="11"/>
      <c r="I312" s="11"/>
      <c r="J312" s="11"/>
      <c r="K312" s="11"/>
      <c r="L312" s="11"/>
      <c r="M312" s="11"/>
      <c r="N312" s="11"/>
      <c r="O312" s="11"/>
    </row>
    <row r="313" spans="1:15" x14ac:dyDescent="0.3">
      <c r="A313" s="11"/>
      <c r="B313" s="11"/>
      <c r="C313" s="11"/>
      <c r="D313" s="11"/>
      <c r="E313" s="11"/>
      <c r="F313" s="11"/>
      <c r="G313" s="11"/>
      <c r="H313" s="11"/>
      <c r="I313" s="11"/>
      <c r="J313" s="11"/>
      <c r="K313" s="11"/>
      <c r="L313" s="11"/>
      <c r="M313" s="11"/>
      <c r="N313" s="11"/>
      <c r="O313" s="11"/>
    </row>
    <row r="314" spans="1:15" x14ac:dyDescent="0.3">
      <c r="A314" s="11"/>
      <c r="B314" s="11"/>
      <c r="C314" s="11"/>
      <c r="D314" s="11"/>
      <c r="E314" s="11"/>
      <c r="F314" s="11"/>
      <c r="G314" s="11"/>
      <c r="H314" s="11"/>
      <c r="I314" s="11"/>
      <c r="J314" s="11"/>
      <c r="K314" s="11"/>
      <c r="L314" s="11"/>
      <c r="M314" s="11"/>
      <c r="N314" s="11"/>
      <c r="O314" s="11"/>
    </row>
    <row r="315" spans="1:15" x14ac:dyDescent="0.3">
      <c r="A315" s="11"/>
      <c r="B315" s="11"/>
      <c r="C315" s="11"/>
      <c r="D315" s="11"/>
      <c r="E315" s="11"/>
      <c r="F315" s="11"/>
      <c r="G315" s="11"/>
      <c r="H315" s="11"/>
      <c r="I315" s="11"/>
      <c r="J315" s="11"/>
      <c r="K315" s="11"/>
      <c r="L315" s="11"/>
      <c r="M315" s="11"/>
      <c r="N315" s="11"/>
      <c r="O315" s="11"/>
    </row>
    <row r="316" spans="1:15" x14ac:dyDescent="0.3">
      <c r="A316" s="11"/>
      <c r="B316" s="11"/>
      <c r="C316" s="11"/>
      <c r="D316" s="11"/>
      <c r="E316" s="11"/>
      <c r="F316" s="11"/>
      <c r="G316" s="11"/>
      <c r="H316" s="11"/>
      <c r="I316" s="11"/>
      <c r="J316" s="11"/>
      <c r="K316" s="11"/>
      <c r="L316" s="11"/>
      <c r="M316" s="11"/>
      <c r="N316" s="11"/>
      <c r="O316" s="11"/>
    </row>
    <row r="317" spans="1:15" x14ac:dyDescent="0.3">
      <c r="A317" s="11"/>
      <c r="B317" s="11"/>
      <c r="C317" s="11"/>
      <c r="D317" s="11"/>
      <c r="E317" s="11"/>
      <c r="F317" s="11"/>
      <c r="G317" s="11"/>
      <c r="H317" s="11"/>
      <c r="I317" s="11"/>
      <c r="J317" s="11"/>
      <c r="K317" s="11"/>
      <c r="L317" s="11"/>
      <c r="M317" s="11"/>
      <c r="N317" s="11"/>
      <c r="O317" s="11"/>
    </row>
    <row r="318" spans="1:15" x14ac:dyDescent="0.3">
      <c r="A318" s="11"/>
      <c r="B318" s="11"/>
      <c r="C318" s="11"/>
      <c r="D318" s="11"/>
      <c r="E318" s="11"/>
      <c r="F318" s="11"/>
      <c r="G318" s="11"/>
      <c r="H318" s="11"/>
      <c r="I318" s="11"/>
      <c r="J318" s="11"/>
      <c r="K318" s="11"/>
      <c r="L318" s="11"/>
      <c r="M318" s="11"/>
      <c r="N318" s="11"/>
      <c r="O318" s="11"/>
    </row>
    <row r="319" spans="1:15" x14ac:dyDescent="0.3">
      <c r="A319" s="11"/>
      <c r="B319" s="11"/>
      <c r="C319" s="11"/>
      <c r="D319" s="11"/>
      <c r="E319" s="11"/>
      <c r="F319" s="11"/>
      <c r="G319" s="11"/>
      <c r="H319" s="11"/>
      <c r="I319" s="11"/>
      <c r="J319" s="11"/>
      <c r="K319" s="11"/>
      <c r="L319" s="11"/>
      <c r="M319" s="11"/>
      <c r="N319" s="11"/>
      <c r="O319" s="11"/>
    </row>
    <row r="320" spans="1:15" x14ac:dyDescent="0.3">
      <c r="A320" s="11"/>
      <c r="B320" s="11"/>
      <c r="C320" s="11"/>
      <c r="D320" s="11"/>
      <c r="E320" s="11"/>
      <c r="F320" s="11"/>
      <c r="G320" s="11"/>
      <c r="H320" s="11"/>
      <c r="I320" s="11"/>
      <c r="J320" s="11"/>
      <c r="K320" s="11"/>
      <c r="L320" s="11"/>
      <c r="M320" s="11"/>
      <c r="N320" s="11"/>
      <c r="O320" s="11"/>
    </row>
  </sheetData>
  <sheetProtection sheet="1" objects="1" scenarios="1" sort="0" autoFilter="0"/>
  <mergeCells count="5">
    <mergeCell ref="B1:O1"/>
    <mergeCell ref="B2:O2"/>
    <mergeCell ref="B3:O3"/>
    <mergeCell ref="B5:O5"/>
    <mergeCell ref="B6:O6"/>
  </mergeCells>
  <dataValidations count="2">
    <dataValidation type="list" allowBlank="1" showErrorMessage="1" errorTitle="Invalid tax category" error="Pick a code from the Categories sheet. Free text is not accepted." promptTitle="Tax Category" prompt="Select a tax category code defined on the Categories sheet." sqref="G8:G307" xr:uid="{8F7453A1-43C0-4C1A-834B-69B0F4212C02}">
      <formula1>Cat_Codes</formula1>
    </dataValidation>
    <dataValidation type="list" allowBlank="1" showInputMessage="1" showErrorMessage="1" errorTitle="Invalid direction" error="Direction must be Inflow or Outflow." sqref="F8:F307" xr:uid="{A348E5FA-D126-4DA6-9B64-BB9A559F2147}">
      <formula1>"Inflow,Outflow"</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CA942-6396-493E-98AE-908E1540519C}">
  <sheetPr>
    <tabColor rgb="FF1F3864"/>
  </sheetPr>
  <dimension ref="A1:K60"/>
  <sheetViews>
    <sheetView showGridLines="0" workbookViewId="0">
      <pane ySplit="8" topLeftCell="A23" activePane="bottomLeft" state="frozen"/>
      <selection pane="bottomLeft"/>
    </sheetView>
  </sheetViews>
  <sheetFormatPr defaultRowHeight="14.4" x14ac:dyDescent="0.3"/>
  <cols>
    <col min="1" max="1" width="2.5546875" customWidth="1"/>
    <col min="2" max="2" width="22.21875" customWidth="1"/>
    <col min="3" max="4" width="21.33203125" customWidth="1"/>
    <col min="5" max="5" width="22.21875" customWidth="1"/>
    <col min="6" max="7" width="21.33203125" customWidth="1"/>
    <col min="8" max="8" width="22.21875" customWidth="1"/>
    <col min="9" max="9" width="24.109375" customWidth="1"/>
    <col min="10" max="10" width="31.44140625" customWidth="1"/>
    <col min="11" max="11" width="55.5546875" customWidth="1"/>
  </cols>
  <sheetData>
    <row r="1" spans="1:11" ht="22.05" customHeight="1" x14ac:dyDescent="0.45">
      <c r="A1" s="11"/>
      <c r="B1" s="104" t="s">
        <v>0</v>
      </c>
      <c r="C1" s="104"/>
      <c r="D1" s="104"/>
      <c r="E1" s="104"/>
      <c r="F1" s="104"/>
      <c r="G1" s="104"/>
      <c r="H1" s="104"/>
      <c r="I1" s="104"/>
      <c r="J1" s="104"/>
      <c r="K1" s="104"/>
    </row>
    <row r="2" spans="1:11" ht="22.05" customHeight="1" x14ac:dyDescent="0.3">
      <c r="A2" s="11"/>
      <c r="B2" s="105" t="s">
        <v>801</v>
      </c>
      <c r="C2" s="105"/>
      <c r="D2" s="105"/>
      <c r="E2" s="105"/>
      <c r="F2" s="105"/>
      <c r="G2" s="105"/>
      <c r="H2" s="105"/>
      <c r="I2" s="105"/>
      <c r="J2" s="105"/>
      <c r="K2" s="105"/>
    </row>
    <row r="3" spans="1:11" ht="22.05" customHeight="1" x14ac:dyDescent="0.3">
      <c r="A3" s="11"/>
      <c r="B3" s="106" t="s">
        <v>802</v>
      </c>
      <c r="C3" s="106"/>
      <c r="D3" s="106"/>
      <c r="E3" s="106"/>
      <c r="F3" s="106"/>
      <c r="G3" s="106"/>
      <c r="H3" s="106"/>
      <c r="I3" s="106"/>
      <c r="J3" s="106"/>
      <c r="K3" s="106"/>
    </row>
    <row r="4" spans="1:11" x14ac:dyDescent="0.3">
      <c r="A4" s="11"/>
      <c r="B4" s="11"/>
      <c r="C4" s="11"/>
      <c r="D4" s="11"/>
      <c r="E4" s="11"/>
      <c r="F4" s="11"/>
      <c r="G4" s="11"/>
      <c r="H4" s="11"/>
      <c r="I4" s="11"/>
      <c r="J4" s="11"/>
      <c r="K4" s="11"/>
    </row>
    <row r="5" spans="1:11" ht="15.6" x14ac:dyDescent="0.3">
      <c r="A5" s="11"/>
      <c r="B5" s="107" t="s">
        <v>803</v>
      </c>
      <c r="C5" s="107"/>
      <c r="D5" s="107"/>
      <c r="E5" s="107"/>
      <c r="F5" s="107"/>
      <c r="G5" s="107"/>
      <c r="H5" s="107"/>
      <c r="I5" s="107"/>
      <c r="J5" s="107"/>
      <c r="K5" s="107"/>
    </row>
    <row r="6" spans="1:11" x14ac:dyDescent="0.3">
      <c r="A6" s="11"/>
      <c r="B6" s="11"/>
      <c r="C6" s="108" t="s">
        <v>804</v>
      </c>
      <c r="D6" s="108"/>
      <c r="E6" s="108"/>
      <c r="F6" s="109" t="s">
        <v>805</v>
      </c>
      <c r="G6" s="109"/>
      <c r="H6" s="109"/>
      <c r="I6" s="11"/>
      <c r="J6" s="11"/>
      <c r="K6" s="11"/>
    </row>
    <row r="7" spans="1:11" x14ac:dyDescent="0.3">
      <c r="A7" s="11"/>
      <c r="B7" s="110" t="s">
        <v>806</v>
      </c>
      <c r="C7" s="111" t="s">
        <v>807</v>
      </c>
      <c r="D7" s="111" t="s">
        <v>808</v>
      </c>
      <c r="E7" s="111" t="s">
        <v>809</v>
      </c>
      <c r="F7" s="111" t="s">
        <v>810</v>
      </c>
      <c r="G7" s="111" t="s">
        <v>811</v>
      </c>
      <c r="H7" s="111" t="s">
        <v>812</v>
      </c>
      <c r="I7" s="111" t="s">
        <v>813</v>
      </c>
      <c r="J7" s="112" t="s">
        <v>814</v>
      </c>
      <c r="K7" s="11"/>
    </row>
    <row r="8" spans="1:11" x14ac:dyDescent="0.3">
      <c r="A8" s="11"/>
      <c r="B8" s="113" t="s">
        <v>815</v>
      </c>
      <c r="C8" s="135" t="s">
        <v>182</v>
      </c>
      <c r="D8" s="135" t="s">
        <v>182</v>
      </c>
      <c r="E8" s="135" t="s">
        <v>182</v>
      </c>
      <c r="F8" s="135" t="s">
        <v>201</v>
      </c>
      <c r="G8" s="135" t="s">
        <v>201</v>
      </c>
      <c r="H8" s="135" t="s">
        <v>201</v>
      </c>
      <c r="I8" s="114"/>
      <c r="J8" s="115"/>
      <c r="K8" s="11"/>
    </row>
    <row r="9" spans="1:11" x14ac:dyDescent="0.3">
      <c r="A9" s="11"/>
      <c r="B9" s="116">
        <f>DATE(Ledger_Year,1,1)</f>
        <v>46023</v>
      </c>
      <c r="C9" s="117" cm="1">
        <f t="array" ref="C9">SUMPRODUCT((YEAR(Ledger!$C$8:$C$307)=YEAR($B9))*(MONTH(Ledger!$C$8:$C$307)=MONTH($B9))*(Ledger!$F$8:$F$307=C$8)*(INDEX(Cat_ChargesVAT,MATCH(Ledger!$G$8:$G$307,Cat_Codes,0))="Yes")*Ledger!$K$8:$K$307)</f>
        <v>195161.40000000005</v>
      </c>
      <c r="D9" s="117" cm="1">
        <f t="array" ref="D9">SUMPRODUCT((YEAR(Ledger!$C$8:$C$307)=YEAR($B9))*(MONTH(Ledger!$C$8:$C$307)=MONTH($B9))*(Ledger!$F$8:$F$307=D$8)*(INDEX(Cat_ChargesVAT,MATCH(Ledger!$G$8:$G$307,Cat_Codes,0))="Yes")*Ledger!$L$8:$L$307)</f>
        <v>32526.900000000005</v>
      </c>
      <c r="E9" s="117" cm="1">
        <f t="array" ref="E9">SUMPRODUCT((YEAR(Ledger!$C$8:$C$307)=YEAR($B9))*(MONTH(Ledger!$C$8:$C$307)=MONTH($B9))*(Ledger!$F$8:$F$307=E$8)*(INDEX(Cat_ChargesVAT,MATCH(Ledger!$G$8:$G$307,Cat_Codes,0))="Yes")*Ledger!$M$8:$M$307)</f>
        <v>32526.900000000005</v>
      </c>
      <c r="F9" s="117" cm="1">
        <f t="array" ref="F9">SUMPRODUCT((YEAR(Ledger!$C$8:$C$307)=YEAR($B9))*(MONTH(Ledger!$C$8:$C$307)=MONTH($B9))*(Ledger!$F$8:$F$307=F$8)*(INDEX(Cat_Recoverable,MATCH(Ledger!$G$8:$G$307,Cat_Codes,0))="Yes")*Ledger!$K$8:$K$307)</f>
        <v>14008.949999999999</v>
      </c>
      <c r="G9" s="117" cm="1">
        <f t="array" ref="G9">SUMPRODUCT((YEAR(Ledger!$C$8:$C$307)=YEAR($B9))*(MONTH(Ledger!$C$8:$C$307)=MONTH($B9))*(Ledger!$F$8:$F$307=G$8)*(INDEX(Cat_Recoverable,MATCH(Ledger!$G$8:$G$307,Cat_Codes,0))="Yes")*Ledger!$L$8:$L$307)</f>
        <v>2334.8250000000003</v>
      </c>
      <c r="H9" s="117" cm="1">
        <f t="array" ref="H9">SUMPRODUCT((YEAR(Ledger!$C$8:$C$307)=YEAR($B9))*(MONTH(Ledger!$C$8:$C$307)=MONTH($B9))*(Ledger!$F$8:$F$307=H$8)*(INDEX(Cat_Recoverable,MATCH(Ledger!$G$8:$G$307,Cat_Codes,0))="Yes")*Ledger!$M$8:$M$307)</f>
        <v>2334.8250000000003</v>
      </c>
      <c r="I9" s="118">
        <f>(C9+D9+E9)-(F9+G9+H9)</f>
        <v>241536.60000000003</v>
      </c>
      <c r="J9" s="119" t="str">
        <f>IF(I9&lt;0,"Net credit — review","Net payable")</f>
        <v>Net payable</v>
      </c>
      <c r="K9" s="11"/>
    </row>
    <row r="10" spans="1:11" x14ac:dyDescent="0.3">
      <c r="A10" s="11"/>
      <c r="B10" s="116">
        <f>EDATE(B9,1)</f>
        <v>46054</v>
      </c>
      <c r="C10" s="117" cm="1">
        <f t="array" ref="C10">SUMPRODUCT((YEAR(Ledger!$C$8:$C$307)=YEAR($B10))*(MONTH(Ledger!$C$8:$C$307)=MONTH($B10))*(Ledger!$F$8:$F$307=C$8)*(INDEX(Cat_ChargesVAT,MATCH(Ledger!$G$8:$G$307,Cat_Codes,0))="Yes")*Ledger!$K$8:$K$307)</f>
        <v>134963.85</v>
      </c>
      <c r="D10" s="117" cm="1">
        <f t="array" ref="D10">SUMPRODUCT((YEAR(Ledger!$C$8:$C$307)=YEAR($B10))*(MONTH(Ledger!$C$8:$C$307)=MONTH($B10))*(Ledger!$F$8:$F$307=D$8)*(INDEX(Cat_ChargesVAT,MATCH(Ledger!$G$8:$G$307,Cat_Codes,0))="Yes")*Ledger!$L$8:$L$307)</f>
        <v>22493.974999999999</v>
      </c>
      <c r="E10" s="117" cm="1">
        <f t="array" ref="E10">SUMPRODUCT((YEAR(Ledger!$C$8:$C$307)=YEAR($B10))*(MONTH(Ledger!$C$8:$C$307)=MONTH($B10))*(Ledger!$F$8:$F$307=E$8)*(INDEX(Cat_ChargesVAT,MATCH(Ledger!$G$8:$G$307,Cat_Codes,0))="Yes")*Ledger!$M$8:$M$307)</f>
        <v>22493.974999999999</v>
      </c>
      <c r="F10" s="117" cm="1">
        <f t="array" ref="F10">SUMPRODUCT((YEAR(Ledger!$C$8:$C$307)=YEAR($B10))*(MONTH(Ledger!$C$8:$C$307)=MONTH($B10))*(Ledger!$F$8:$F$307=F$8)*(INDEX(Cat_Recoverable,MATCH(Ledger!$G$8:$G$307,Cat_Codes,0))="Yes")*Ledger!$K$8:$K$307)</f>
        <v>11309.25</v>
      </c>
      <c r="G10" s="117" cm="1">
        <f t="array" ref="G10">SUMPRODUCT((YEAR(Ledger!$C$8:$C$307)=YEAR($B10))*(MONTH(Ledger!$C$8:$C$307)=MONTH($B10))*(Ledger!$F$8:$F$307=G$8)*(INDEX(Cat_Recoverable,MATCH(Ledger!$G$8:$G$307,Cat_Codes,0))="Yes")*Ledger!$L$8:$L$307)</f>
        <v>1884.875</v>
      </c>
      <c r="H10" s="117" cm="1">
        <f t="array" ref="H10">SUMPRODUCT((YEAR(Ledger!$C$8:$C$307)=YEAR($B10))*(MONTH(Ledger!$C$8:$C$307)=MONTH($B10))*(Ledger!$F$8:$F$307=H$8)*(INDEX(Cat_Recoverable,MATCH(Ledger!$G$8:$G$307,Cat_Codes,0))="Yes")*Ledger!$M$8:$M$307)</f>
        <v>1884.875</v>
      </c>
      <c r="I10" s="118">
        <f t="shared" ref="I10:I17" si="0">(C10+D10+E10)-(F10+G10+H10)</f>
        <v>164872.80000000002</v>
      </c>
      <c r="J10" s="119" t="str">
        <f t="shared" ref="J10:J17" si="1">IF(I10&lt;0,"Net credit — review","Net payable")</f>
        <v>Net payable</v>
      </c>
      <c r="K10" s="11"/>
    </row>
    <row r="11" spans="1:11" x14ac:dyDescent="0.3">
      <c r="A11" s="11"/>
      <c r="B11" s="116">
        <f t="shared" ref="B11:B16" si="2">EDATE(B10,1)</f>
        <v>46082</v>
      </c>
      <c r="C11" s="117" cm="1">
        <f t="array" ref="C11">SUMPRODUCT((YEAR(Ledger!$C$8:$C$307)=YEAR($B11))*(MONTH(Ledger!$C$8:$C$307)=MONTH($B11))*(Ledger!$F$8:$F$307=C$8)*(INDEX(Cat_ChargesVAT,MATCH(Ledger!$G$8:$G$307,Cat_Codes,0))="Yes")*Ledger!$K$8:$K$307)</f>
        <v>159072.9</v>
      </c>
      <c r="D11" s="117" cm="1">
        <f t="array" ref="D11">SUMPRODUCT((YEAR(Ledger!$C$8:$C$307)=YEAR($B11))*(MONTH(Ledger!$C$8:$C$307)=MONTH($B11))*(Ledger!$F$8:$F$307=D$8)*(INDEX(Cat_ChargesVAT,MATCH(Ledger!$G$8:$G$307,Cat_Codes,0))="Yes")*Ledger!$L$8:$L$307)</f>
        <v>26512.15</v>
      </c>
      <c r="E11" s="117" cm="1">
        <f t="array" ref="E11">SUMPRODUCT((YEAR(Ledger!$C$8:$C$307)=YEAR($B11))*(MONTH(Ledger!$C$8:$C$307)=MONTH($B11))*(Ledger!$F$8:$F$307=E$8)*(INDEX(Cat_ChargesVAT,MATCH(Ledger!$G$8:$G$307,Cat_Codes,0))="Yes")*Ledger!$M$8:$M$307)</f>
        <v>26512.15</v>
      </c>
      <c r="F11" s="117" cm="1">
        <f t="array" ref="F11">SUMPRODUCT((YEAR(Ledger!$C$8:$C$307)=YEAR($B11))*(MONTH(Ledger!$C$8:$C$307)=MONTH($B11))*(Ledger!$F$8:$F$307=F$8)*(INDEX(Cat_Recoverable,MATCH(Ledger!$G$8:$G$307,Cat_Codes,0))="Yes")*Ledger!$K$8:$K$307)</f>
        <v>11402.999999999998</v>
      </c>
      <c r="G11" s="117" cm="1">
        <f t="array" ref="G11">SUMPRODUCT((YEAR(Ledger!$C$8:$C$307)=YEAR($B11))*(MONTH(Ledger!$C$8:$C$307)=MONTH($B11))*(Ledger!$F$8:$F$307=G$8)*(INDEX(Cat_Recoverable,MATCH(Ledger!$G$8:$G$307,Cat_Codes,0))="Yes")*Ledger!$L$8:$L$307)</f>
        <v>1900.5</v>
      </c>
      <c r="H11" s="117" cm="1">
        <f t="array" ref="H11">SUMPRODUCT((YEAR(Ledger!$C$8:$C$307)=YEAR($B11))*(MONTH(Ledger!$C$8:$C$307)=MONTH($B11))*(Ledger!$F$8:$F$307=H$8)*(INDEX(Cat_Recoverable,MATCH(Ledger!$G$8:$G$307,Cat_Codes,0))="Yes")*Ledger!$M$8:$M$307)</f>
        <v>1900.5</v>
      </c>
      <c r="I11" s="118">
        <f t="shared" si="0"/>
        <v>196893.19999999998</v>
      </c>
      <c r="J11" s="119" t="str">
        <f t="shared" si="1"/>
        <v>Net payable</v>
      </c>
      <c r="K11" s="11"/>
    </row>
    <row r="12" spans="1:11" x14ac:dyDescent="0.3">
      <c r="A12" s="11"/>
      <c r="B12" s="116">
        <f t="shared" si="2"/>
        <v>46113</v>
      </c>
      <c r="C12" s="117" cm="1">
        <f t="array" ref="C12">SUMPRODUCT((YEAR(Ledger!$C$8:$C$307)=YEAR($B12))*(MONTH(Ledger!$C$8:$C$307)=MONTH($B12))*(Ledger!$F$8:$F$307=C$8)*(INDEX(Cat_ChargesVAT,MATCH(Ledger!$G$8:$G$307,Cat_Codes,0))="Yes")*Ledger!$K$8:$K$307)</f>
        <v>112738.8</v>
      </c>
      <c r="D12" s="117" cm="1">
        <f t="array" ref="D12">SUMPRODUCT((YEAR(Ledger!$C$8:$C$307)=YEAR($B12))*(MONTH(Ledger!$C$8:$C$307)=MONTH($B12))*(Ledger!$F$8:$F$307=D$8)*(INDEX(Cat_ChargesVAT,MATCH(Ledger!$G$8:$G$307,Cat_Codes,0))="Yes")*Ledger!$L$8:$L$307)</f>
        <v>18789.800000000003</v>
      </c>
      <c r="E12" s="117" cm="1">
        <f t="array" ref="E12">SUMPRODUCT((YEAR(Ledger!$C$8:$C$307)=YEAR($B12))*(MONTH(Ledger!$C$8:$C$307)=MONTH($B12))*(Ledger!$F$8:$F$307=E$8)*(INDEX(Cat_ChargesVAT,MATCH(Ledger!$G$8:$G$307,Cat_Codes,0))="Yes")*Ledger!$M$8:$M$307)</f>
        <v>18789.800000000003</v>
      </c>
      <c r="F12" s="117" cm="1">
        <f t="array" ref="F12">SUMPRODUCT((YEAR(Ledger!$C$8:$C$307)=YEAR($B12))*(MONTH(Ledger!$C$8:$C$307)=MONTH($B12))*(Ledger!$F$8:$F$307=F$8)*(INDEX(Cat_Recoverable,MATCH(Ledger!$G$8:$G$307,Cat_Codes,0))="Yes")*Ledger!$K$8:$K$307)</f>
        <v>13625.7</v>
      </c>
      <c r="G12" s="117" cm="1">
        <f t="array" ref="G12">SUMPRODUCT((YEAR(Ledger!$C$8:$C$307)=YEAR($B12))*(MONTH(Ledger!$C$8:$C$307)=MONTH($B12))*(Ledger!$F$8:$F$307=G$8)*(INDEX(Cat_Recoverable,MATCH(Ledger!$G$8:$G$307,Cat_Codes,0))="Yes")*Ledger!$L$8:$L$307)</f>
        <v>2270.9500000000003</v>
      </c>
      <c r="H12" s="117" cm="1">
        <f t="array" ref="H12">SUMPRODUCT((YEAR(Ledger!$C$8:$C$307)=YEAR($B12))*(MONTH(Ledger!$C$8:$C$307)=MONTH($B12))*(Ledger!$F$8:$F$307=H$8)*(INDEX(Cat_Recoverable,MATCH(Ledger!$G$8:$G$307,Cat_Codes,0))="Yes")*Ledger!$M$8:$M$307)</f>
        <v>2270.9500000000003</v>
      </c>
      <c r="I12" s="118">
        <f t="shared" si="0"/>
        <v>132150.80000000002</v>
      </c>
      <c r="J12" s="119" t="str">
        <f t="shared" si="1"/>
        <v>Net payable</v>
      </c>
      <c r="K12" s="11"/>
    </row>
    <row r="13" spans="1:11" x14ac:dyDescent="0.3">
      <c r="A13" s="11"/>
      <c r="B13" s="116">
        <f t="shared" si="2"/>
        <v>46143</v>
      </c>
      <c r="C13" s="117" cm="1">
        <f t="array" ref="C13">SUMPRODUCT((YEAR(Ledger!$C$8:$C$307)=YEAR($B13))*(MONTH(Ledger!$C$8:$C$307)=MONTH($B13))*(Ledger!$F$8:$F$307=C$8)*(INDEX(Cat_ChargesVAT,MATCH(Ledger!$G$8:$G$307,Cat_Codes,0))="Yes")*Ledger!$K$8:$K$307)</f>
        <v>111840.29999999999</v>
      </c>
      <c r="D13" s="117" cm="1">
        <f t="array" ref="D13">SUMPRODUCT((YEAR(Ledger!$C$8:$C$307)=YEAR($B13))*(MONTH(Ledger!$C$8:$C$307)=MONTH($B13))*(Ledger!$F$8:$F$307=D$8)*(INDEX(Cat_ChargesVAT,MATCH(Ledger!$G$8:$G$307,Cat_Codes,0))="Yes")*Ledger!$L$8:$L$307)</f>
        <v>18640.050000000003</v>
      </c>
      <c r="E13" s="117" cm="1">
        <f t="array" ref="E13">SUMPRODUCT((YEAR(Ledger!$C$8:$C$307)=YEAR($B13))*(MONTH(Ledger!$C$8:$C$307)=MONTH($B13))*(Ledger!$F$8:$F$307=E$8)*(INDEX(Cat_ChargesVAT,MATCH(Ledger!$G$8:$G$307,Cat_Codes,0))="Yes")*Ledger!$M$8:$M$307)</f>
        <v>18640.050000000003</v>
      </c>
      <c r="F13" s="117" cm="1">
        <f t="array" ref="F13">SUMPRODUCT((YEAR(Ledger!$C$8:$C$307)=YEAR($B13))*(MONTH(Ledger!$C$8:$C$307)=MONTH($B13))*(Ledger!$F$8:$F$307=F$8)*(INDEX(Cat_Recoverable,MATCH(Ledger!$G$8:$G$307,Cat_Codes,0))="Yes")*Ledger!$K$8:$K$307)</f>
        <v>18886.05</v>
      </c>
      <c r="G13" s="117" cm="1">
        <f t="array" ref="G13">SUMPRODUCT((YEAR(Ledger!$C$8:$C$307)=YEAR($B13))*(MONTH(Ledger!$C$8:$C$307)=MONTH($B13))*(Ledger!$F$8:$F$307=G$8)*(INDEX(Cat_Recoverable,MATCH(Ledger!$G$8:$G$307,Cat_Codes,0))="Yes")*Ledger!$L$8:$L$307)</f>
        <v>3147.6750000000006</v>
      </c>
      <c r="H13" s="117" cm="1">
        <f t="array" ref="H13">SUMPRODUCT((YEAR(Ledger!$C$8:$C$307)=YEAR($B13))*(MONTH(Ledger!$C$8:$C$307)=MONTH($B13))*(Ledger!$F$8:$F$307=H$8)*(INDEX(Cat_Recoverable,MATCH(Ledger!$G$8:$G$307,Cat_Codes,0))="Yes")*Ledger!$M$8:$M$307)</f>
        <v>3147.6750000000006</v>
      </c>
      <c r="I13" s="118">
        <f t="shared" si="0"/>
        <v>123939</v>
      </c>
      <c r="J13" s="119" t="str">
        <f t="shared" si="1"/>
        <v>Net payable</v>
      </c>
      <c r="K13" s="11"/>
    </row>
    <row r="14" spans="1:11" x14ac:dyDescent="0.3">
      <c r="A14" s="11"/>
      <c r="B14" s="116">
        <f t="shared" si="2"/>
        <v>46174</v>
      </c>
      <c r="C14" s="117" cm="1">
        <f t="array" ref="C14">SUMPRODUCT((YEAR(Ledger!$C$8:$C$307)=YEAR($B14))*(MONTH(Ledger!$C$8:$C$307)=MONTH($B14))*(Ledger!$F$8:$F$307=C$8)*(INDEX(Cat_ChargesVAT,MATCH(Ledger!$G$8:$G$307,Cat_Codes,0))="Yes")*Ledger!$K$8:$K$307)</f>
        <v>110459.54999999999</v>
      </c>
      <c r="D14" s="117" cm="1">
        <f t="array" ref="D14">SUMPRODUCT((YEAR(Ledger!$C$8:$C$307)=YEAR($B14))*(MONTH(Ledger!$C$8:$C$307)=MONTH($B14))*(Ledger!$F$8:$F$307=D$8)*(INDEX(Cat_ChargesVAT,MATCH(Ledger!$G$8:$G$307,Cat_Codes,0))="Yes")*Ledger!$L$8:$L$307)</f>
        <v>18409.924999999999</v>
      </c>
      <c r="E14" s="117" cm="1">
        <f t="array" ref="E14">SUMPRODUCT((YEAR(Ledger!$C$8:$C$307)=YEAR($B14))*(MONTH(Ledger!$C$8:$C$307)=MONTH($B14))*(Ledger!$F$8:$F$307=E$8)*(INDEX(Cat_ChargesVAT,MATCH(Ledger!$G$8:$G$307,Cat_Codes,0))="Yes")*Ledger!$M$8:$M$307)</f>
        <v>18409.924999999999</v>
      </c>
      <c r="F14" s="117" cm="1">
        <f t="array" ref="F14">SUMPRODUCT((YEAR(Ledger!$C$8:$C$307)=YEAR($B14))*(MONTH(Ledger!$C$8:$C$307)=MONTH($B14))*(Ledger!$F$8:$F$307=F$8)*(INDEX(Cat_Recoverable,MATCH(Ledger!$G$8:$G$307,Cat_Codes,0))="Yes")*Ledger!$K$8:$K$307)</f>
        <v>13124.25</v>
      </c>
      <c r="G14" s="117" cm="1">
        <f t="array" ref="G14">SUMPRODUCT((YEAR(Ledger!$C$8:$C$307)=YEAR($B14))*(MONTH(Ledger!$C$8:$C$307)=MONTH($B14))*(Ledger!$F$8:$F$307=G$8)*(INDEX(Cat_Recoverable,MATCH(Ledger!$G$8:$G$307,Cat_Codes,0))="Yes")*Ledger!$L$8:$L$307)</f>
        <v>2187.375</v>
      </c>
      <c r="H14" s="117" cm="1">
        <f t="array" ref="H14">SUMPRODUCT((YEAR(Ledger!$C$8:$C$307)=YEAR($B14))*(MONTH(Ledger!$C$8:$C$307)=MONTH($B14))*(Ledger!$F$8:$F$307=H$8)*(INDEX(Cat_Recoverable,MATCH(Ledger!$G$8:$G$307,Cat_Codes,0))="Yes")*Ledger!$M$8:$M$307)</f>
        <v>2187.375</v>
      </c>
      <c r="I14" s="118">
        <f t="shared" si="0"/>
        <v>129780.4</v>
      </c>
      <c r="J14" s="119" t="str">
        <f t="shared" si="1"/>
        <v>Net payable</v>
      </c>
      <c r="K14" s="11"/>
    </row>
    <row r="15" spans="1:11" x14ac:dyDescent="0.3">
      <c r="A15" s="11"/>
      <c r="B15" s="116">
        <f t="shared" si="2"/>
        <v>46204</v>
      </c>
      <c r="C15" s="117" cm="1">
        <f t="array" ref="C15">SUMPRODUCT((YEAR(Ledger!$C$8:$C$307)=YEAR($B15))*(MONTH(Ledger!$C$8:$C$307)=MONTH($B15))*(Ledger!$F$8:$F$307=C$8)*(INDEX(Cat_ChargesVAT,MATCH(Ledger!$G$8:$G$307,Cat_Codes,0))="Yes")*Ledger!$K$8:$K$307)</f>
        <v>127974.15</v>
      </c>
      <c r="D15" s="117" cm="1">
        <f t="array" ref="D15">SUMPRODUCT((YEAR(Ledger!$C$8:$C$307)=YEAR($B15))*(MONTH(Ledger!$C$8:$C$307)=MONTH($B15))*(Ledger!$F$8:$F$307=D$8)*(INDEX(Cat_ChargesVAT,MATCH(Ledger!$G$8:$G$307,Cat_Codes,0))="Yes")*Ledger!$L$8:$L$307)</f>
        <v>21329.025000000001</v>
      </c>
      <c r="E15" s="117" cm="1">
        <f t="array" ref="E15">SUMPRODUCT((YEAR(Ledger!$C$8:$C$307)=YEAR($B15))*(MONTH(Ledger!$C$8:$C$307)=MONTH($B15))*(Ledger!$F$8:$F$307=E$8)*(INDEX(Cat_ChargesVAT,MATCH(Ledger!$G$8:$G$307,Cat_Codes,0))="Yes")*Ledger!$M$8:$M$307)</f>
        <v>21329.025000000001</v>
      </c>
      <c r="F15" s="117" cm="1">
        <f t="array" ref="F15">SUMPRODUCT((YEAR(Ledger!$C$8:$C$307)=YEAR($B15))*(MONTH(Ledger!$C$8:$C$307)=MONTH($B15))*(Ledger!$F$8:$F$307=F$8)*(INDEX(Cat_Recoverable,MATCH(Ledger!$G$8:$G$307,Cat_Codes,0))="Yes")*Ledger!$K$8:$K$307)</f>
        <v>4345.95</v>
      </c>
      <c r="G15" s="117" cm="1">
        <f t="array" ref="G15">SUMPRODUCT((YEAR(Ledger!$C$8:$C$307)=YEAR($B15))*(MONTH(Ledger!$C$8:$C$307)=MONTH($B15))*(Ledger!$F$8:$F$307=G$8)*(INDEX(Cat_Recoverable,MATCH(Ledger!$G$8:$G$307,Cat_Codes,0))="Yes")*Ledger!$L$8:$L$307)</f>
        <v>724.32500000000005</v>
      </c>
      <c r="H15" s="117" cm="1">
        <f t="array" ref="H15">SUMPRODUCT((YEAR(Ledger!$C$8:$C$307)=YEAR($B15))*(MONTH(Ledger!$C$8:$C$307)=MONTH($B15))*(Ledger!$F$8:$F$307=H$8)*(INDEX(Cat_Recoverable,MATCH(Ledger!$G$8:$G$307,Cat_Codes,0))="Yes")*Ledger!$M$8:$M$307)</f>
        <v>724.32500000000005</v>
      </c>
      <c r="I15" s="118">
        <f t="shared" si="0"/>
        <v>164837.59999999998</v>
      </c>
      <c r="J15" s="119" t="str">
        <f t="shared" si="1"/>
        <v>Net payable</v>
      </c>
      <c r="K15" s="11"/>
    </row>
    <row r="16" spans="1:11" x14ac:dyDescent="0.3">
      <c r="A16" s="11"/>
      <c r="B16" s="116">
        <f t="shared" si="2"/>
        <v>46235</v>
      </c>
      <c r="C16" s="117" cm="1">
        <f t="array" ref="C16">SUMPRODUCT((YEAR(Ledger!$C$8:$C$307)=YEAR($B16))*(MONTH(Ledger!$C$8:$C$307)=MONTH($B16))*(Ledger!$F$8:$F$307=C$8)*(INDEX(Cat_ChargesVAT,MATCH(Ledger!$G$8:$G$307,Cat_Codes,0))="Yes")*Ledger!$K$8:$K$307)</f>
        <v>164205.29999999996</v>
      </c>
      <c r="D16" s="117" cm="1">
        <f t="array" ref="D16">SUMPRODUCT((YEAR(Ledger!$C$8:$C$307)=YEAR($B16))*(MONTH(Ledger!$C$8:$C$307)=MONTH($B16))*(Ledger!$F$8:$F$307=D$8)*(INDEX(Cat_ChargesVAT,MATCH(Ledger!$G$8:$G$307,Cat_Codes,0))="Yes")*Ledger!$L$8:$L$307)</f>
        <v>27367.549999999996</v>
      </c>
      <c r="E16" s="117" cm="1">
        <f t="array" ref="E16">SUMPRODUCT((YEAR(Ledger!$C$8:$C$307)=YEAR($B16))*(MONTH(Ledger!$C$8:$C$307)=MONTH($B16))*(Ledger!$F$8:$F$307=E$8)*(INDEX(Cat_ChargesVAT,MATCH(Ledger!$G$8:$G$307,Cat_Codes,0))="Yes")*Ledger!$M$8:$M$307)</f>
        <v>27367.549999999996</v>
      </c>
      <c r="F16" s="117" cm="1">
        <f t="array" ref="F16">SUMPRODUCT((YEAR(Ledger!$C$8:$C$307)=YEAR($B16))*(MONTH(Ledger!$C$8:$C$307)=MONTH($B16))*(Ledger!$F$8:$F$307=F$8)*(INDEX(Cat_Recoverable,MATCH(Ledger!$G$8:$G$307,Cat_Codes,0))="Yes")*Ledger!$K$8:$K$307)</f>
        <v>11128.35</v>
      </c>
      <c r="G16" s="117" cm="1">
        <f t="array" ref="G16">SUMPRODUCT((YEAR(Ledger!$C$8:$C$307)=YEAR($B16))*(MONTH(Ledger!$C$8:$C$307)=MONTH($B16))*(Ledger!$F$8:$F$307=G$8)*(INDEX(Cat_Recoverable,MATCH(Ledger!$G$8:$G$307,Cat_Codes,0))="Yes")*Ledger!$L$8:$L$307)</f>
        <v>1854.7250000000001</v>
      </c>
      <c r="H16" s="117" cm="1">
        <f t="array" ref="H16">SUMPRODUCT((YEAR(Ledger!$C$8:$C$307)=YEAR($B16))*(MONTH(Ledger!$C$8:$C$307)=MONTH($B16))*(Ledger!$F$8:$F$307=H$8)*(INDEX(Cat_Recoverable,MATCH(Ledger!$G$8:$G$307,Cat_Codes,0))="Yes")*Ledger!$M$8:$M$307)</f>
        <v>1854.7250000000001</v>
      </c>
      <c r="I16" s="118">
        <f t="shared" si="0"/>
        <v>204102.59999999995</v>
      </c>
      <c r="J16" s="119" t="str">
        <f t="shared" si="1"/>
        <v>Net payable</v>
      </c>
      <c r="K16" s="11"/>
    </row>
    <row r="17" spans="1:11" x14ac:dyDescent="0.3">
      <c r="A17" s="11"/>
      <c r="B17" s="120" t="s">
        <v>816</v>
      </c>
      <c r="C17" s="121">
        <f>SUM(C9:C16)</f>
        <v>1116416.25</v>
      </c>
      <c r="D17" s="121">
        <f>SUM(D9:D16)</f>
        <v>186069.37499999997</v>
      </c>
      <c r="E17" s="121">
        <f>SUM(E9:E16)</f>
        <v>186069.37499999997</v>
      </c>
      <c r="F17" s="121">
        <f>SUM(F9:F16)</f>
        <v>97831.5</v>
      </c>
      <c r="G17" s="121">
        <f>SUM(G9:G16)</f>
        <v>16305.250000000004</v>
      </c>
      <c r="H17" s="121">
        <f>SUM(H9:H16)</f>
        <v>16305.250000000004</v>
      </c>
      <c r="I17" s="121">
        <f>SUM(I9:I16)</f>
        <v>1358112.9999999998</v>
      </c>
      <c r="J17" s="122" t="str">
        <f>IF(I17&lt;0,"Net credit — review","Net payable")</f>
        <v>Net payable</v>
      </c>
      <c r="K17" s="11"/>
    </row>
    <row r="18" spans="1:11" x14ac:dyDescent="0.3">
      <c r="A18" s="11"/>
      <c r="B18" s="11"/>
      <c r="C18" s="11"/>
      <c r="D18" s="11"/>
      <c r="E18" s="11"/>
      <c r="F18" s="11"/>
      <c r="G18" s="11"/>
      <c r="H18" s="11"/>
      <c r="I18" s="11"/>
      <c r="J18" s="11"/>
      <c r="K18" s="11"/>
    </row>
    <row r="19" spans="1:11" ht="15.6" x14ac:dyDescent="0.3">
      <c r="A19" s="11"/>
      <c r="B19" s="107" t="s">
        <v>817</v>
      </c>
      <c r="C19" s="107"/>
      <c r="D19" s="107"/>
      <c r="E19" s="107"/>
      <c r="F19" s="107"/>
      <c r="G19" s="107"/>
      <c r="H19" s="107"/>
      <c r="I19" s="107"/>
      <c r="J19" s="107"/>
      <c r="K19" s="107"/>
    </row>
    <row r="20" spans="1:11" x14ac:dyDescent="0.3">
      <c r="A20" s="11"/>
      <c r="B20" s="123" t="s">
        <v>103</v>
      </c>
      <c r="C20" s="123"/>
      <c r="D20" s="123"/>
      <c r="E20" s="123"/>
      <c r="F20" s="124" t="s">
        <v>104</v>
      </c>
      <c r="G20" s="124" t="s">
        <v>105</v>
      </c>
      <c r="H20" s="125" t="s">
        <v>106</v>
      </c>
      <c r="I20" s="11"/>
      <c r="J20" s="11"/>
      <c r="K20" s="11"/>
    </row>
    <row r="21" spans="1:11" x14ac:dyDescent="0.3">
      <c r="A21" s="11"/>
      <c r="B21" s="126" t="s">
        <v>818</v>
      </c>
      <c r="C21" s="126"/>
      <c r="D21" s="126"/>
      <c r="E21" s="126"/>
      <c r="F21" s="127">
        <f>COUNTA(Ledger!$B$8:$B$307)</f>
        <v>300</v>
      </c>
      <c r="G21" s="127" cm="1">
        <f t="array" ref="G21">SUMPRODUCT((Ledger!$C$8:$C$307&gt;=$B$9)*(Ledger!$C$8:$C$307&lt;=EOMONTH($B$16,0))*1)</f>
        <v>300</v>
      </c>
      <c r="H21" s="128" t="str">
        <f>IF(F21=G21,"OK","REVIEW")</f>
        <v>OK</v>
      </c>
      <c r="I21" s="11"/>
      <c r="J21" s="11"/>
      <c r="K21" s="11"/>
    </row>
    <row r="22" spans="1:11" x14ac:dyDescent="0.3">
      <c r="A22" s="11"/>
      <c r="B22" s="126" t="s">
        <v>819</v>
      </c>
      <c r="C22" s="126"/>
      <c r="D22" s="126"/>
      <c r="E22" s="126"/>
      <c r="F22" s="129" cm="1">
        <f t="array" ref="F22">SUMPRODUCT((Ledger!$F$8:$F$307=$C$8)*Ledger!$K$8:$K$307)</f>
        <v>1116416.2500000002</v>
      </c>
      <c r="G22" s="129">
        <f>C17</f>
        <v>1116416.25</v>
      </c>
      <c r="H22" s="128" t="str">
        <f>IF(ROUND(F22-G22,2)=0,"OK","REVIEW")</f>
        <v>OK</v>
      </c>
      <c r="I22" s="11"/>
      <c r="J22" s="11"/>
      <c r="K22" s="11"/>
    </row>
    <row r="23" spans="1:11" x14ac:dyDescent="0.3">
      <c r="A23" s="11"/>
      <c r="B23" s="126" t="s">
        <v>833</v>
      </c>
      <c r="C23" s="126"/>
      <c r="D23" s="126"/>
      <c r="E23" s="126"/>
      <c r="F23" s="129" cm="1">
        <f t="array" ref="F23">SUMPRODUCT((Ledger!$F$8:$F$307=$F$8)*(INDEX(Cat_Recoverable,MATCH(Ledger!$G$8:$G$307,Cat_Codes,0))="Yes")*Ledger!$K$8:$K$307)</f>
        <v>97831.500000000015</v>
      </c>
      <c r="G23" s="129">
        <f>F17</f>
        <v>97831.5</v>
      </c>
      <c r="H23" s="128" t="str">
        <f>IF(ROUND(F23-G23,2)=0,"OK","REVIEW")</f>
        <v>OK</v>
      </c>
      <c r="I23" s="11"/>
      <c r="J23" s="11"/>
      <c r="K23" s="11"/>
    </row>
    <row r="24" spans="1:11" x14ac:dyDescent="0.3">
      <c r="A24" s="11"/>
      <c r="B24" s="126" t="s">
        <v>834</v>
      </c>
      <c r="C24" s="126"/>
      <c r="D24" s="126"/>
      <c r="E24" s="126"/>
      <c r="F24" s="129">
        <f>SUM(Ledger!$N$8:$N$307)</f>
        <v>1635833.5999999996</v>
      </c>
      <c r="G24" s="129">
        <f>C17+D17+E17+F17+G17+H17+G27</f>
        <v>1635833.6</v>
      </c>
      <c r="H24" s="128" t="str">
        <f>IF(ROUND(F24-G24,2)=0,"OK","REVIEW")</f>
        <v>OK</v>
      </c>
      <c r="I24" s="11"/>
      <c r="J24" s="11"/>
      <c r="K24" s="11"/>
    </row>
    <row r="25" spans="1:11" x14ac:dyDescent="0.3">
      <c r="A25" s="11"/>
      <c r="B25" s="126" t="s">
        <v>820</v>
      </c>
      <c r="C25" s="126"/>
      <c r="D25" s="126"/>
      <c r="E25" s="126"/>
      <c r="F25" s="129">
        <f>SUM(I9:I16)</f>
        <v>1358112.9999999998</v>
      </c>
      <c r="G25" s="129">
        <f>I17</f>
        <v>1358112.9999999998</v>
      </c>
      <c r="H25" s="128" t="str">
        <f>IF(ROUND(F25-G25,2)=0,"OK","REVIEW")</f>
        <v>OK</v>
      </c>
      <c r="I25" s="11"/>
      <c r="J25" s="11"/>
      <c r="K25" s="11"/>
    </row>
    <row r="26" spans="1:11" x14ac:dyDescent="0.3">
      <c r="A26" s="11"/>
      <c r="B26" s="130" t="s">
        <v>821</v>
      </c>
      <c r="C26" s="130"/>
      <c r="D26" s="130"/>
      <c r="E26" s="130"/>
      <c r="F26" s="131">
        <v>8</v>
      </c>
      <c r="G26" s="131" cm="1">
        <f t="array" ref="G26">SUMPRODUCT(1/COUNTIF(B9:B16,B9:B16))</f>
        <v>8</v>
      </c>
      <c r="H26" s="132" t="str">
        <f>IF(F26=G26,"OK","REVIEW")</f>
        <v>OK</v>
      </c>
      <c r="I26" s="11"/>
      <c r="J26" s="11"/>
      <c r="K26" s="11"/>
    </row>
    <row r="27" spans="1:11" x14ac:dyDescent="0.3">
      <c r="A27" s="11"/>
      <c r="B27" s="138" t="s">
        <v>835</v>
      </c>
      <c r="C27" s="138"/>
      <c r="D27" s="138"/>
      <c r="E27" s="138"/>
      <c r="F27" s="139" cm="1">
        <f t="array" ref="F27">SUMPRODUCT((Ledger!$F$8:$F$307=$F$8)*Ledger!$N$8:$N$307)-(F17+G17+H17)</f>
        <v>16836.599999999948</v>
      </c>
      <c r="G27" s="140" cm="1">
        <f t="array" ref="G27">SUMPRODUCT((Ledger!$F$8:$F$307=$F$8)*(INDEX(Cat_Recoverable,MATCH(Ledger!$G$8:$G$307,Cat_Codes,0))="No")*Ledger!$N$8:$N$307)</f>
        <v>16836.600000000002</v>
      </c>
      <c r="H27" s="137" t="str">
        <f>IF(ROUND(F27-G27,2)=0,"OK","REVIEW")</f>
        <v>OK</v>
      </c>
      <c r="I27" s="11"/>
      <c r="J27" s="11"/>
      <c r="K27" s="11"/>
    </row>
    <row r="28" spans="1:11" ht="15.6" x14ac:dyDescent="0.3">
      <c r="A28" s="11"/>
      <c r="B28" s="107" t="s">
        <v>822</v>
      </c>
      <c r="C28" s="107"/>
      <c r="D28" s="107"/>
      <c r="E28" s="107"/>
      <c r="F28" s="107"/>
      <c r="G28" s="107"/>
      <c r="H28" s="107"/>
      <c r="I28" s="107"/>
      <c r="J28" s="107"/>
      <c r="K28" s="107"/>
    </row>
    <row r="29" spans="1:11" x14ac:dyDescent="0.3">
      <c r="A29" s="11"/>
      <c r="B29" s="123" t="s">
        <v>823</v>
      </c>
      <c r="C29" s="123"/>
      <c r="D29" s="123"/>
      <c r="E29" s="123"/>
      <c r="F29" s="123"/>
      <c r="G29" s="124" t="s">
        <v>824</v>
      </c>
      <c r="H29" s="11"/>
      <c r="I29" s="11"/>
      <c r="J29" s="11"/>
      <c r="K29" s="11"/>
    </row>
    <row r="30" spans="1:11" x14ac:dyDescent="0.3">
      <c r="A30" s="11"/>
      <c r="B30" s="130" t="s">
        <v>825</v>
      </c>
      <c r="C30" s="130"/>
      <c r="D30" s="130"/>
      <c r="E30" s="130"/>
      <c r="F30" s="130"/>
      <c r="G30" s="136" cm="1">
        <f t="array" ref="G30">SUMPRODUCT((Ledger!$F$8:$F$307=$C$8)*(INDEX(Cat_Rate,MATCH(Ledger!$G$8:$G$307,Cat_Codes,0))=VAT_WHT_Rate)*Ledger!$H$8:$H$307*VAT_WHT_Rate)</f>
        <v>63364.630000000012</v>
      </c>
      <c r="H30" s="11"/>
      <c r="I30" s="11"/>
      <c r="J30" s="11"/>
      <c r="K30" s="11"/>
    </row>
    <row r="31" spans="1:11" x14ac:dyDescent="0.3">
      <c r="A31" s="11"/>
      <c r="B31" s="11"/>
      <c r="C31" s="11"/>
      <c r="D31" s="11"/>
      <c r="E31" s="11"/>
      <c r="F31" s="11"/>
      <c r="G31" s="11"/>
      <c r="H31" s="11"/>
      <c r="I31" s="11"/>
      <c r="J31" s="11"/>
      <c r="K31" s="11"/>
    </row>
    <row r="32" spans="1:11" x14ac:dyDescent="0.3">
      <c r="A32" s="11"/>
      <c r="B32" s="11"/>
      <c r="C32" s="11"/>
      <c r="D32" s="11"/>
      <c r="E32" s="11"/>
      <c r="F32" s="11"/>
      <c r="G32" s="11"/>
      <c r="H32" s="11"/>
      <c r="I32" s="11"/>
      <c r="J32" s="11"/>
      <c r="K32" s="11"/>
    </row>
    <row r="33" spans="1:11" x14ac:dyDescent="0.3">
      <c r="A33" s="11"/>
      <c r="B33" s="11"/>
      <c r="C33" s="11"/>
      <c r="D33" s="11"/>
      <c r="E33" s="11"/>
      <c r="F33" s="11"/>
      <c r="G33" s="11"/>
      <c r="H33" s="11"/>
      <c r="I33" s="11"/>
      <c r="J33" s="11"/>
      <c r="K33" s="11"/>
    </row>
    <row r="34" spans="1:11" x14ac:dyDescent="0.3">
      <c r="A34" s="11"/>
      <c r="B34" s="133" t="s">
        <v>826</v>
      </c>
      <c r="C34" s="11"/>
      <c r="D34" s="11"/>
      <c r="E34" s="11"/>
      <c r="F34" s="11"/>
      <c r="G34" s="11"/>
      <c r="H34" s="11"/>
      <c r="I34" s="11"/>
      <c r="J34" s="11"/>
      <c r="K34" s="11"/>
    </row>
    <row r="35" spans="1:11" x14ac:dyDescent="0.3">
      <c r="A35" s="11"/>
      <c r="B35" s="134" t="s">
        <v>827</v>
      </c>
      <c r="C35" s="42"/>
      <c r="D35" s="42"/>
      <c r="E35" s="42"/>
      <c r="F35" s="42"/>
      <c r="G35" s="42"/>
      <c r="H35" s="42"/>
      <c r="I35" s="42"/>
      <c r="J35" s="42"/>
      <c r="K35" s="42"/>
    </row>
    <row r="36" spans="1:11" x14ac:dyDescent="0.3">
      <c r="A36" s="11"/>
      <c r="B36" s="134" t="s">
        <v>828</v>
      </c>
      <c r="C36" s="42"/>
      <c r="D36" s="42"/>
      <c r="E36" s="42"/>
      <c r="F36" s="42"/>
      <c r="G36" s="42"/>
      <c r="H36" s="42"/>
      <c r="I36" s="42"/>
      <c r="J36" s="42"/>
      <c r="K36" s="42"/>
    </row>
    <row r="37" spans="1:11" x14ac:dyDescent="0.3">
      <c r="A37" s="11"/>
      <c r="B37" s="134" t="s">
        <v>829</v>
      </c>
      <c r="C37" s="42"/>
      <c r="D37" s="42"/>
      <c r="E37" s="42"/>
      <c r="F37" s="42"/>
      <c r="G37" s="42"/>
      <c r="H37" s="42"/>
      <c r="I37" s="42"/>
      <c r="J37" s="42"/>
      <c r="K37" s="42"/>
    </row>
    <row r="38" spans="1:11" x14ac:dyDescent="0.3">
      <c r="A38" s="11"/>
      <c r="B38" s="134" t="s">
        <v>830</v>
      </c>
      <c r="C38" s="42"/>
      <c r="D38" s="42"/>
      <c r="E38" s="42"/>
      <c r="F38" s="42"/>
      <c r="G38" s="42"/>
      <c r="H38" s="42"/>
      <c r="I38" s="42"/>
      <c r="J38" s="42"/>
      <c r="K38" s="42"/>
    </row>
    <row r="39" spans="1:11" x14ac:dyDescent="0.3">
      <c r="A39" s="11"/>
      <c r="B39" s="134" t="s">
        <v>836</v>
      </c>
      <c r="C39" s="42"/>
      <c r="D39" s="42"/>
      <c r="E39" s="42"/>
      <c r="F39" s="42"/>
      <c r="G39" s="42"/>
      <c r="H39" s="42"/>
      <c r="I39" s="42"/>
      <c r="J39" s="42"/>
      <c r="K39" s="42"/>
    </row>
    <row r="40" spans="1:11" x14ac:dyDescent="0.3">
      <c r="A40" s="11"/>
      <c r="B40" s="134" t="s">
        <v>831</v>
      </c>
      <c r="C40" s="42"/>
      <c r="D40" s="42"/>
      <c r="E40" s="42"/>
      <c r="F40" s="42"/>
      <c r="G40" s="42"/>
      <c r="H40" s="42"/>
      <c r="I40" s="42"/>
      <c r="J40" s="42"/>
      <c r="K40" s="42"/>
    </row>
    <row r="41" spans="1:11" x14ac:dyDescent="0.3">
      <c r="A41" s="11"/>
      <c r="B41" s="11"/>
      <c r="C41" s="11"/>
      <c r="D41" s="11"/>
      <c r="E41" s="11"/>
      <c r="F41" s="11"/>
      <c r="G41" s="11"/>
      <c r="H41" s="11"/>
      <c r="I41" s="11"/>
      <c r="J41" s="11"/>
      <c r="K41" s="11"/>
    </row>
    <row r="42" spans="1:11" x14ac:dyDescent="0.3">
      <c r="A42" s="11"/>
      <c r="B42" s="11"/>
      <c r="C42" s="11"/>
      <c r="D42" s="11"/>
      <c r="E42" s="11"/>
      <c r="F42" s="11"/>
      <c r="G42" s="11"/>
      <c r="H42" s="11"/>
      <c r="I42" s="11"/>
      <c r="J42" s="11"/>
      <c r="K42" s="11"/>
    </row>
    <row r="43" spans="1:11" x14ac:dyDescent="0.3">
      <c r="A43" s="11"/>
      <c r="B43" s="11"/>
      <c r="C43" s="11"/>
      <c r="D43" s="11"/>
      <c r="E43" s="11"/>
      <c r="F43" s="11"/>
      <c r="G43" s="11"/>
      <c r="H43" s="11"/>
      <c r="I43" s="11"/>
      <c r="J43" s="11"/>
      <c r="K43" s="11"/>
    </row>
    <row r="44" spans="1:11" x14ac:dyDescent="0.3">
      <c r="A44" s="11"/>
      <c r="B44" s="11"/>
      <c r="C44" s="11"/>
      <c r="D44" s="11"/>
      <c r="E44" s="11"/>
      <c r="F44" s="11"/>
      <c r="G44" s="11"/>
      <c r="H44" s="11"/>
      <c r="I44" s="11"/>
      <c r="J44" s="11"/>
      <c r="K44" s="11"/>
    </row>
    <row r="45" spans="1:11" x14ac:dyDescent="0.3">
      <c r="A45" s="11"/>
      <c r="B45" s="11"/>
      <c r="C45" s="11"/>
      <c r="D45" s="11"/>
      <c r="E45" s="11"/>
      <c r="F45" s="11"/>
      <c r="G45" s="11"/>
      <c r="H45" s="11"/>
      <c r="I45" s="11"/>
      <c r="J45" s="11"/>
      <c r="K45" s="11"/>
    </row>
    <row r="46" spans="1:11" x14ac:dyDescent="0.3">
      <c r="A46" s="11"/>
      <c r="B46" s="11"/>
      <c r="C46" s="11"/>
      <c r="D46" s="11"/>
      <c r="E46" s="11"/>
      <c r="F46" s="11"/>
      <c r="G46" s="11"/>
      <c r="H46" s="11"/>
      <c r="I46" s="11"/>
      <c r="J46" s="11"/>
      <c r="K46" s="11"/>
    </row>
    <row r="47" spans="1:11" x14ac:dyDescent="0.3">
      <c r="A47" s="11"/>
      <c r="B47" s="11"/>
      <c r="C47" s="11"/>
      <c r="D47" s="11"/>
      <c r="E47" s="11"/>
      <c r="F47" s="11"/>
      <c r="G47" s="11"/>
      <c r="H47" s="11"/>
      <c r="I47" s="11"/>
      <c r="J47" s="11"/>
      <c r="K47" s="11"/>
    </row>
    <row r="48" spans="1:11" x14ac:dyDescent="0.3">
      <c r="A48" s="11"/>
      <c r="B48" s="11"/>
      <c r="C48" s="11"/>
      <c r="D48" s="11"/>
      <c r="E48" s="11"/>
      <c r="F48" s="11"/>
      <c r="G48" s="11"/>
      <c r="H48" s="11"/>
      <c r="I48" s="11"/>
      <c r="J48" s="11"/>
      <c r="K48" s="11"/>
    </row>
    <row r="49" spans="1:11" x14ac:dyDescent="0.3">
      <c r="A49" s="11"/>
      <c r="B49" s="11"/>
      <c r="C49" s="11"/>
      <c r="D49" s="11"/>
      <c r="E49" s="11"/>
      <c r="F49" s="11"/>
      <c r="G49" s="11"/>
      <c r="H49" s="11"/>
      <c r="I49" s="11"/>
      <c r="J49" s="11"/>
      <c r="K49" s="11"/>
    </row>
    <row r="50" spans="1:11" x14ac:dyDescent="0.3">
      <c r="A50" s="11"/>
      <c r="B50" s="11"/>
      <c r="C50" s="11"/>
      <c r="D50" s="11"/>
      <c r="E50" s="11"/>
      <c r="F50" s="11"/>
      <c r="G50" s="11"/>
      <c r="H50" s="11"/>
      <c r="I50" s="11"/>
      <c r="J50" s="11"/>
      <c r="K50" s="11"/>
    </row>
    <row r="51" spans="1:11" x14ac:dyDescent="0.3">
      <c r="A51" s="11"/>
      <c r="B51" s="11"/>
      <c r="C51" s="11"/>
      <c r="D51" s="11"/>
      <c r="E51" s="11"/>
      <c r="F51" s="11"/>
      <c r="G51" s="11"/>
      <c r="H51" s="11"/>
      <c r="I51" s="11"/>
      <c r="J51" s="11"/>
      <c r="K51" s="11"/>
    </row>
    <row r="52" spans="1:11" x14ac:dyDescent="0.3">
      <c r="A52" s="11"/>
      <c r="B52" s="11"/>
      <c r="C52" s="11"/>
      <c r="D52" s="11"/>
      <c r="E52" s="11"/>
      <c r="F52" s="11"/>
      <c r="G52" s="11"/>
      <c r="H52" s="11"/>
      <c r="I52" s="11"/>
      <c r="J52" s="11"/>
      <c r="K52" s="11"/>
    </row>
    <row r="53" spans="1:11" x14ac:dyDescent="0.3">
      <c r="A53" s="11"/>
      <c r="B53" s="11"/>
      <c r="C53" s="11"/>
      <c r="D53" s="11"/>
      <c r="E53" s="11"/>
      <c r="F53" s="11"/>
      <c r="G53" s="11"/>
      <c r="H53" s="11"/>
      <c r="I53" s="11"/>
      <c r="J53" s="11"/>
      <c r="K53" s="11"/>
    </row>
    <row r="54" spans="1:11" x14ac:dyDescent="0.3">
      <c r="A54" s="11"/>
      <c r="B54" s="11"/>
      <c r="C54" s="11"/>
      <c r="D54" s="11"/>
      <c r="E54" s="11"/>
      <c r="F54" s="11"/>
      <c r="G54" s="11"/>
      <c r="H54" s="11"/>
      <c r="I54" s="11"/>
      <c r="J54" s="11"/>
      <c r="K54" s="11"/>
    </row>
    <row r="55" spans="1:11" x14ac:dyDescent="0.3">
      <c r="A55" s="11"/>
      <c r="B55" s="11"/>
      <c r="C55" s="11"/>
      <c r="D55" s="11"/>
      <c r="E55" s="11"/>
      <c r="F55" s="11"/>
      <c r="G55" s="11"/>
      <c r="H55" s="11"/>
      <c r="I55" s="11"/>
      <c r="J55" s="11"/>
      <c r="K55" s="11"/>
    </row>
    <row r="56" spans="1:11" x14ac:dyDescent="0.3">
      <c r="A56" s="11"/>
      <c r="B56" s="11"/>
      <c r="C56" s="11"/>
      <c r="D56" s="11"/>
      <c r="E56" s="11"/>
      <c r="F56" s="11"/>
      <c r="G56" s="11"/>
      <c r="H56" s="11"/>
      <c r="I56" s="11"/>
      <c r="J56" s="11"/>
      <c r="K56" s="11"/>
    </row>
    <row r="57" spans="1:11" x14ac:dyDescent="0.3">
      <c r="A57" s="11"/>
      <c r="B57" s="11"/>
      <c r="C57" s="11"/>
      <c r="D57" s="11"/>
      <c r="E57" s="11"/>
      <c r="F57" s="11"/>
      <c r="G57" s="11"/>
      <c r="H57" s="11"/>
      <c r="I57" s="11"/>
      <c r="J57" s="11"/>
      <c r="K57" s="11"/>
    </row>
    <row r="58" spans="1:11" x14ac:dyDescent="0.3">
      <c r="A58" s="11"/>
      <c r="B58" s="11"/>
      <c r="C58" s="11"/>
      <c r="D58" s="11"/>
      <c r="E58" s="11"/>
      <c r="F58" s="11"/>
      <c r="G58" s="11"/>
      <c r="H58" s="11"/>
      <c r="I58" s="11"/>
      <c r="J58" s="11"/>
      <c r="K58" s="11"/>
    </row>
    <row r="59" spans="1:11" x14ac:dyDescent="0.3">
      <c r="A59" s="11"/>
      <c r="B59" s="11"/>
      <c r="C59" s="11"/>
      <c r="D59" s="11"/>
      <c r="E59" s="11"/>
      <c r="F59" s="11"/>
      <c r="G59" s="11"/>
      <c r="H59" s="11"/>
      <c r="I59" s="11"/>
      <c r="J59" s="11"/>
      <c r="K59" s="11"/>
    </row>
    <row r="60" spans="1:11" x14ac:dyDescent="0.3">
      <c r="A60" s="11"/>
      <c r="B60" s="11"/>
      <c r="C60" s="11"/>
      <c r="D60" s="11"/>
      <c r="E60" s="11"/>
      <c r="F60" s="11"/>
      <c r="G60" s="11"/>
      <c r="H60" s="11"/>
      <c r="I60" s="11"/>
      <c r="J60" s="11"/>
      <c r="K60" s="11"/>
    </row>
  </sheetData>
  <sheetProtection sheet="1" objects="1" scenarios="1" sort="0" autoFilter="0"/>
  <mergeCells count="24">
    <mergeCell ref="B38:K38"/>
    <mergeCell ref="B39:K39"/>
    <mergeCell ref="B40:K40"/>
    <mergeCell ref="B27:E27"/>
    <mergeCell ref="B30:F30"/>
    <mergeCell ref="B35:K35"/>
    <mergeCell ref="B36:K36"/>
    <mergeCell ref="B37:K37"/>
    <mergeCell ref="B22:E22"/>
    <mergeCell ref="B23:E23"/>
    <mergeCell ref="B24:E24"/>
    <mergeCell ref="B25:E25"/>
    <mergeCell ref="B26:E26"/>
    <mergeCell ref="B29:F29"/>
    <mergeCell ref="B1:K1"/>
    <mergeCell ref="B2:K2"/>
    <mergeCell ref="B3:K3"/>
    <mergeCell ref="B5:K5"/>
    <mergeCell ref="B19:K19"/>
    <mergeCell ref="B28:K28"/>
    <mergeCell ref="C6:E6"/>
    <mergeCell ref="F6:H6"/>
    <mergeCell ref="B20:E20"/>
    <mergeCell ref="B21:E21"/>
  </mergeCells>
  <conditionalFormatting sqref="I9:I17">
    <cfRule type="expression" dxfId="36" priority="1">
      <formula>$I9&lt;0</formula>
    </cfRule>
  </conditionalFormatting>
  <conditionalFormatting sqref="J9:J17">
    <cfRule type="expression" dxfId="35" priority="2">
      <formula>$I9&lt;0</formula>
    </cfRule>
  </conditionalFormatting>
  <conditionalFormatting sqref="H21:H27">
    <cfRule type="expression" dxfId="32" priority="3">
      <formula>$H21="REVIEW"</formula>
    </cfRule>
  </conditionalFormatting>
  <conditionalFormatting sqref="H21:H27">
    <cfRule type="expression" dxfId="31" priority="4">
      <formula>$H21="OK"</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34EB1-642B-4F2E-AFFC-EDE48897E31C}">
  <sheetPr>
    <tabColor rgb="FFC00000"/>
  </sheetPr>
  <dimension ref="A1:Q335"/>
  <sheetViews>
    <sheetView showGridLines="0" workbookViewId="0">
      <pane ySplit="26" topLeftCell="A36" activePane="bottomLeft" state="frozen"/>
      <selection pane="bottomLeft" activeCell="C25" sqref="C25:K25"/>
    </sheetView>
  </sheetViews>
  <sheetFormatPr defaultRowHeight="14.4" x14ac:dyDescent="0.3"/>
  <cols>
    <col min="1" max="1" width="2.5546875" customWidth="1"/>
    <col min="2" max="2" width="13" customWidth="1"/>
    <col min="3" max="3" width="17.5546875" customWidth="1"/>
    <col min="4" max="4" width="25" customWidth="1"/>
    <col min="5" max="5" width="20.33203125" customWidth="1"/>
    <col min="6" max="6" width="16.6640625" customWidth="1"/>
    <col min="7" max="7" width="22.21875" customWidth="1"/>
    <col min="8" max="8" width="24.109375" customWidth="1"/>
    <col min="9" max="9" width="55.5546875" customWidth="1"/>
    <col min="10" max="10" width="35.21875" customWidth="1"/>
    <col min="11" max="11" width="59.21875" customWidth="1"/>
    <col min="12" max="12" width="20.33203125" customWidth="1"/>
    <col min="13" max="13" width="22.21875" customWidth="1"/>
    <col min="14" max="14" width="24.109375" customWidth="1"/>
    <col min="15" max="15" width="27.77734375" customWidth="1"/>
    <col min="16" max="16" width="24.109375" customWidth="1"/>
    <col min="17" max="17" width="17.5546875" customWidth="1"/>
  </cols>
  <sheetData>
    <row r="1" spans="1:17" ht="23.4" x14ac:dyDescent="0.45">
      <c r="A1" s="11"/>
      <c r="B1" s="141" t="s">
        <v>0</v>
      </c>
      <c r="C1" s="11"/>
      <c r="D1" s="11"/>
      <c r="E1" s="11"/>
      <c r="F1" s="11"/>
      <c r="G1" s="11"/>
      <c r="H1" s="11"/>
      <c r="I1" s="11"/>
      <c r="J1" s="11"/>
      <c r="K1" s="11"/>
      <c r="L1" s="11"/>
      <c r="M1" s="11"/>
      <c r="N1" s="11"/>
      <c r="O1" s="11"/>
      <c r="P1" s="11"/>
      <c r="Q1" s="11"/>
    </row>
    <row r="2" spans="1:17" x14ac:dyDescent="0.3">
      <c r="A2" s="11"/>
      <c r="B2" s="142" t="s">
        <v>837</v>
      </c>
      <c r="C2" s="11"/>
      <c r="D2" s="11"/>
      <c r="E2" s="11"/>
      <c r="F2" s="11"/>
      <c r="G2" s="11"/>
      <c r="H2" s="11"/>
      <c r="I2" s="11"/>
      <c r="J2" s="11"/>
      <c r="K2" s="11"/>
      <c r="L2" s="11"/>
      <c r="M2" s="11"/>
      <c r="N2" s="11"/>
      <c r="O2" s="11"/>
      <c r="P2" s="11"/>
      <c r="Q2" s="11"/>
    </row>
    <row r="3" spans="1:17" x14ac:dyDescent="0.3">
      <c r="A3" s="11"/>
      <c r="B3" s="143" t="s">
        <v>838</v>
      </c>
      <c r="C3" s="11"/>
      <c r="D3" s="11"/>
      <c r="E3" s="11"/>
      <c r="F3" s="11"/>
      <c r="G3" s="11"/>
      <c r="H3" s="11"/>
      <c r="I3" s="11"/>
      <c r="J3" s="11"/>
      <c r="K3" s="11"/>
      <c r="L3" s="11"/>
      <c r="M3" s="11"/>
      <c r="N3" s="11"/>
      <c r="O3" s="11"/>
      <c r="P3" s="11"/>
      <c r="Q3" s="11"/>
    </row>
    <row r="4" spans="1:17" x14ac:dyDescent="0.3">
      <c r="A4" s="11"/>
      <c r="B4" s="11"/>
      <c r="C4" s="11"/>
      <c r="D4" s="11"/>
      <c r="E4" s="11"/>
      <c r="F4" s="11"/>
      <c r="G4" s="11"/>
      <c r="H4" s="11"/>
      <c r="I4" s="11"/>
      <c r="J4" s="11"/>
      <c r="K4" s="11"/>
      <c r="L4" s="11"/>
      <c r="M4" s="11"/>
      <c r="N4" s="11"/>
      <c r="O4" s="11"/>
      <c r="P4" s="11"/>
      <c r="Q4" s="11"/>
    </row>
    <row r="5" spans="1:17" ht="15.6" x14ac:dyDescent="0.3">
      <c r="A5" s="11"/>
      <c r="B5" s="144" t="s">
        <v>839</v>
      </c>
      <c r="C5" s="11"/>
      <c r="D5" s="11"/>
      <c r="E5" s="11"/>
      <c r="F5" s="11"/>
      <c r="G5" s="11"/>
      <c r="H5" s="11"/>
      <c r="I5" s="11"/>
      <c r="J5" s="11"/>
      <c r="K5" s="11"/>
      <c r="L5" s="11"/>
      <c r="M5" s="11"/>
      <c r="N5" s="11"/>
      <c r="O5" s="11"/>
      <c r="P5" s="11"/>
      <c r="Q5" s="11"/>
    </row>
    <row r="6" spans="1:17" x14ac:dyDescent="0.3">
      <c r="A6" s="11"/>
      <c r="B6" s="91" t="s">
        <v>840</v>
      </c>
      <c r="C6" s="11"/>
      <c r="D6" s="11"/>
      <c r="E6" s="11"/>
      <c r="F6" s="167" t="s">
        <v>212</v>
      </c>
      <c r="G6" s="168"/>
      <c r="H6" s="168"/>
      <c r="I6" s="168"/>
      <c r="J6" s="168"/>
      <c r="K6" s="168"/>
      <c r="L6" s="168"/>
      <c r="M6" s="168"/>
      <c r="N6" s="11"/>
      <c r="O6" s="11"/>
      <c r="P6" s="11"/>
      <c r="Q6" s="11"/>
    </row>
    <row r="7" spans="1:17" x14ac:dyDescent="0.3">
      <c r="A7" s="11"/>
      <c r="B7" s="91" t="s">
        <v>841</v>
      </c>
      <c r="C7" s="11"/>
      <c r="D7" s="11"/>
      <c r="E7" s="11"/>
      <c r="F7" s="167" t="s">
        <v>781</v>
      </c>
      <c r="G7" s="167" t="s">
        <v>786</v>
      </c>
      <c r="H7" s="167" t="s">
        <v>193</v>
      </c>
      <c r="I7" s="167"/>
      <c r="J7" s="167"/>
      <c r="K7" s="167"/>
      <c r="L7" s="168"/>
      <c r="M7" s="168"/>
      <c r="N7" s="11"/>
      <c r="O7" s="11"/>
      <c r="P7" s="11"/>
      <c r="Q7" s="11"/>
    </row>
    <row r="8" spans="1:17" x14ac:dyDescent="0.3">
      <c r="A8" s="11"/>
      <c r="B8" s="91" t="s">
        <v>842</v>
      </c>
      <c r="C8" s="11"/>
      <c r="D8" s="11"/>
      <c r="E8" s="11"/>
      <c r="F8" s="169">
        <v>0.01</v>
      </c>
      <c r="G8" s="168"/>
      <c r="H8" s="168"/>
      <c r="I8" s="168"/>
      <c r="J8" s="168"/>
      <c r="K8" s="168"/>
      <c r="L8" s="168"/>
      <c r="M8" s="168"/>
      <c r="N8" s="11"/>
      <c r="O8" s="11"/>
      <c r="P8" s="11"/>
      <c r="Q8" s="11"/>
    </row>
    <row r="9" spans="1:17" x14ac:dyDescent="0.3">
      <c r="A9" s="11"/>
      <c r="B9" s="91" t="s">
        <v>843</v>
      </c>
      <c r="C9" s="11"/>
      <c r="D9" s="11"/>
      <c r="E9" s="11"/>
      <c r="F9" s="167" t="s">
        <v>844</v>
      </c>
      <c r="G9" s="168"/>
      <c r="H9" s="168"/>
      <c r="I9" s="168"/>
      <c r="J9" s="168"/>
      <c r="K9" s="168"/>
      <c r="L9" s="168"/>
      <c r="M9" s="168"/>
      <c r="N9" s="11"/>
      <c r="O9" s="11"/>
      <c r="P9" s="11"/>
      <c r="Q9" s="11"/>
    </row>
    <row r="10" spans="1:17" x14ac:dyDescent="0.3">
      <c r="A10" s="11"/>
      <c r="B10" s="146" t="s">
        <v>845</v>
      </c>
      <c r="C10" s="11"/>
      <c r="D10" s="11"/>
      <c r="E10" s="11"/>
      <c r="F10" s="167" t="s">
        <v>846</v>
      </c>
      <c r="G10" s="168"/>
      <c r="H10" s="168"/>
      <c r="I10" s="168"/>
      <c r="J10" s="168"/>
      <c r="K10" s="168"/>
      <c r="L10" s="168"/>
      <c r="M10" s="168"/>
      <c r="N10" s="11"/>
      <c r="O10" s="11"/>
      <c r="P10" s="11"/>
      <c r="Q10" s="11"/>
    </row>
    <row r="11" spans="1:17" x14ac:dyDescent="0.3">
      <c r="A11" s="11"/>
      <c r="B11" s="146" t="s">
        <v>866</v>
      </c>
      <c r="C11" s="11"/>
      <c r="D11" s="11"/>
      <c r="E11" s="11"/>
      <c r="F11" s="167" t="s">
        <v>199</v>
      </c>
      <c r="G11" s="168"/>
      <c r="H11" s="168"/>
      <c r="I11" s="168"/>
      <c r="J11" s="168"/>
      <c r="K11" s="168"/>
      <c r="L11" s="168"/>
      <c r="M11" s="168"/>
      <c r="N11" s="11"/>
      <c r="O11" s="11"/>
      <c r="P11" s="11"/>
      <c r="Q11" s="11"/>
    </row>
    <row r="12" spans="1:17" x14ac:dyDescent="0.3">
      <c r="A12" s="11"/>
      <c r="B12" s="146" t="s">
        <v>867</v>
      </c>
      <c r="C12" s="11"/>
      <c r="D12" s="11"/>
      <c r="E12" s="11"/>
      <c r="F12" s="167" t="s">
        <v>868</v>
      </c>
      <c r="G12" s="167" t="s">
        <v>869</v>
      </c>
      <c r="H12" s="167" t="s">
        <v>870</v>
      </c>
      <c r="I12" s="167" t="s">
        <v>871</v>
      </c>
      <c r="J12" s="167" t="s">
        <v>872</v>
      </c>
      <c r="K12" s="167" t="s">
        <v>873</v>
      </c>
      <c r="L12" s="167" t="s">
        <v>874</v>
      </c>
      <c r="M12" s="167" t="s">
        <v>875</v>
      </c>
      <c r="N12" s="145"/>
      <c r="O12" s="145"/>
      <c r="P12" s="145"/>
      <c r="Q12" s="11"/>
    </row>
    <row r="13" spans="1:17" x14ac:dyDescent="0.3">
      <c r="A13" s="11"/>
      <c r="B13" s="170" t="s">
        <v>876</v>
      </c>
      <c r="C13" s="11"/>
      <c r="D13" s="11"/>
      <c r="E13" s="11"/>
      <c r="F13" s="145"/>
      <c r="G13" s="11"/>
      <c r="H13" s="11"/>
      <c r="I13" s="11"/>
      <c r="J13" s="11"/>
      <c r="K13" s="11"/>
      <c r="L13" s="11"/>
      <c r="M13" s="11"/>
      <c r="N13" s="11"/>
      <c r="O13" s="11"/>
      <c r="P13" s="11"/>
      <c r="Q13" s="11"/>
    </row>
    <row r="14" spans="1:17" x14ac:dyDescent="0.3">
      <c r="A14" s="11"/>
      <c r="B14" s="11"/>
      <c r="C14" s="11"/>
      <c r="D14" s="11"/>
      <c r="E14" s="11"/>
      <c r="F14" s="11"/>
      <c r="G14" s="11"/>
      <c r="H14" s="11"/>
      <c r="I14" s="11"/>
      <c r="J14" s="11"/>
      <c r="K14" s="11"/>
      <c r="L14" s="11"/>
      <c r="M14" s="11"/>
      <c r="N14" s="11"/>
      <c r="O14" s="11"/>
      <c r="P14" s="11"/>
      <c r="Q14" s="11"/>
    </row>
    <row r="15" spans="1:17" ht="15.6" x14ac:dyDescent="0.3">
      <c r="A15" s="11"/>
      <c r="B15" s="144" t="s">
        <v>857</v>
      </c>
      <c r="C15" s="11"/>
      <c r="D15" s="11"/>
      <c r="E15" s="11"/>
      <c r="F15" s="11"/>
      <c r="G15" s="11"/>
      <c r="H15" s="11"/>
      <c r="I15" s="11"/>
      <c r="J15" s="11"/>
      <c r="K15" s="11"/>
      <c r="L15" s="11"/>
      <c r="M15" s="11"/>
      <c r="N15" s="11"/>
      <c r="O15" s="11"/>
      <c r="P15" s="11"/>
      <c r="Q15" s="11"/>
    </row>
    <row r="16" spans="1:17" x14ac:dyDescent="0.3">
      <c r="A16" s="11"/>
      <c r="B16" s="98" t="s">
        <v>858</v>
      </c>
      <c r="C16" s="11"/>
      <c r="D16" s="11"/>
      <c r="E16" s="11"/>
      <c r="F16" s="147" t="s">
        <v>859</v>
      </c>
      <c r="G16" s="147" t="s">
        <v>860</v>
      </c>
      <c r="H16" s="147" t="s">
        <v>865</v>
      </c>
      <c r="I16" s="147" t="s">
        <v>861</v>
      </c>
      <c r="J16" s="147"/>
      <c r="K16" s="11"/>
      <c r="L16" s="11"/>
      <c r="M16" s="11"/>
      <c r="N16" s="11"/>
      <c r="O16" s="11"/>
      <c r="P16" s="11"/>
      <c r="Q16" s="11"/>
    </row>
    <row r="17" spans="1:17" x14ac:dyDescent="0.3">
      <c r="A17" s="11"/>
      <c r="B17" s="11" t="s">
        <v>765</v>
      </c>
      <c r="C17" s="11"/>
      <c r="D17" s="11"/>
      <c r="E17" s="11"/>
      <c r="F17" s="148">
        <f>COUNTIF($L$27:$L$326,"Yes")</f>
        <v>3</v>
      </c>
      <c r="G17" s="149">
        <f>COUNTIF(tbl_ErrorKey[Error type],"Missing invoice number")</f>
        <v>3</v>
      </c>
      <c r="H17" s="148" cm="1">
        <f t="array" ref="H17">SUMPRODUCT((tbl_ErrorKey[Error type]="Missing invoice number")*(COUNTIFS($B$27:$B$326,tbl_ErrorKey[Row ID],$L$27:$L$326,"Yes")&gt;0))</f>
        <v>3</v>
      </c>
      <c r="I17" s="171" t="str">
        <f>IF(H17=G17,"All "&amp;G17&amp;" seeded rows detected","Detects "&amp;H17&amp;" of "&amp;G17&amp;" seeded rows — "&amp;G17-H17&amp;" MISSED")</f>
        <v>All 3 seeded rows detected</v>
      </c>
      <c r="J17" s="148"/>
      <c r="K17" s="11"/>
      <c r="L17" s="11"/>
      <c r="M17" s="11"/>
      <c r="N17" s="11"/>
      <c r="O17" s="11"/>
      <c r="P17" s="11"/>
      <c r="Q17" s="11"/>
    </row>
    <row r="18" spans="1:17" x14ac:dyDescent="0.3">
      <c r="A18" s="11"/>
      <c r="B18" s="11" t="s">
        <v>762</v>
      </c>
      <c r="C18" s="11"/>
      <c r="D18" s="11"/>
      <c r="E18" s="11"/>
      <c r="F18" s="148">
        <f>COUNTIF($M$27:$M$326,"Yes")</f>
        <v>6</v>
      </c>
      <c r="G18" s="149">
        <f>COUNTIF(tbl_ErrorKey[Error type],"Duplicate invoice number")</f>
        <v>3</v>
      </c>
      <c r="H18" s="148" cm="1">
        <f t="array" ref="H18">SUMPRODUCT((tbl_ErrorKey[Error type]="Duplicate invoice number")*(COUNTIFS($B$27:$B$326,tbl_ErrorKey[Row ID],$M$27:$M$326,"Yes")&gt;0))</f>
        <v>3</v>
      </c>
      <c r="I18" s="171" t="str">
        <f>IF(H18=G18,"All "&amp;G18&amp;" seeded rows detected","Detects "&amp;H18&amp;" of "&amp;G18&amp;" seeded rows — "&amp;G18-H18&amp;" MISSED")</f>
        <v>All 3 seeded rows detected</v>
      </c>
      <c r="J18" s="148"/>
      <c r="K18" s="11"/>
      <c r="L18" s="11"/>
      <c r="M18" s="11"/>
      <c r="N18" s="11"/>
      <c r="O18" s="11"/>
      <c r="P18" s="11"/>
      <c r="Q18" s="11"/>
    </row>
    <row r="19" spans="1:17" x14ac:dyDescent="0.3">
      <c r="A19" s="11"/>
      <c r="B19" s="11" t="s">
        <v>771</v>
      </c>
      <c r="C19" s="11"/>
      <c r="D19" s="11"/>
      <c r="E19" s="11"/>
      <c r="F19" s="148">
        <f>COUNTIF($N$27:$N$326,"Yes")</f>
        <v>3</v>
      </c>
      <c r="G19" s="149">
        <f>COUNTIF(tbl_ErrorKey[Error type],"Wrong tax amount")</f>
        <v>3</v>
      </c>
      <c r="H19" s="148" cm="1">
        <f t="array" ref="H19">SUMPRODUCT((tbl_ErrorKey[Error type]="Wrong tax amount")*(COUNTIFS($B$27:$B$326,tbl_ErrorKey[Row ID],$N$27:$N$326,"Yes")&gt;0))</f>
        <v>3</v>
      </c>
      <c r="I19" s="171" t="str">
        <f>IF(H19=G19,"All "&amp;G19&amp;" seeded rows detected","Detects "&amp;H19&amp;" of "&amp;G19&amp;" seeded rows — "&amp;G19-H19&amp;" MISSED")</f>
        <v>All 3 seeded rows detected</v>
      </c>
      <c r="J19" s="148"/>
      <c r="K19" s="11"/>
      <c r="L19" s="11"/>
      <c r="M19" s="11"/>
      <c r="N19" s="11"/>
      <c r="O19" s="11"/>
      <c r="P19" s="11"/>
      <c r="Q19" s="11"/>
    </row>
    <row r="20" spans="1:17" ht="43.2" x14ac:dyDescent="0.3">
      <c r="A20" s="11"/>
      <c r="B20" s="11" t="s">
        <v>862</v>
      </c>
      <c r="C20" s="11"/>
      <c r="D20" s="11"/>
      <c r="E20" s="11"/>
      <c r="F20" s="148">
        <f>COUNTIF($O$27:$O$326,"Yes")</f>
        <v>0</v>
      </c>
      <c r="G20" s="149">
        <f>COUNTIF(tbl_ErrorKey[Error type],"Wrong tax category")</f>
        <v>3</v>
      </c>
      <c r="H20" s="148" cm="1">
        <f t="array" ref="H20">SUMPRODUCT((tbl_ErrorKey[Error type]="Wrong tax category")*(COUNTIFS($B$27:$B$326,tbl_ErrorKey[Row ID],$O$27:$O$326,"Yes")&gt;0))</f>
        <v>0</v>
      </c>
      <c r="I20" s="172" t="str">
        <f>IF(F20=0,"No matching errors in this dataset — Direction/prefix consistent on all "&amp;F23&amp;" rows; the "&amp;G20&amp;" seeded category errors are caught by Suspect Category instead.",F20&amp;" row(s) flagged — investigate")</f>
        <v>No matching errors in this dataset — Direction/prefix consistent on all 300 rows; the 3 seeded category errors are caught by Suspect Category instead.</v>
      </c>
      <c r="J20" s="148"/>
      <c r="K20" s="11"/>
      <c r="L20" s="11"/>
      <c r="M20" s="11"/>
      <c r="N20" s="11"/>
      <c r="O20" s="11"/>
      <c r="P20" s="11"/>
      <c r="Q20" s="11"/>
    </row>
    <row r="21" spans="1:17" x14ac:dyDescent="0.3">
      <c r="A21" s="11"/>
      <c r="B21" s="91" t="s">
        <v>878</v>
      </c>
      <c r="C21" s="11"/>
      <c r="D21" s="11"/>
      <c r="E21" s="11"/>
      <c r="F21" s="148">
        <f>COUNTIF($P$27:$P$326,"Yes")</f>
        <v>3</v>
      </c>
      <c r="G21" s="148">
        <f>COUNTIF(tbl_ErrorKey[Error type],"Wrong tax category")</f>
        <v>3</v>
      </c>
      <c r="H21" s="148" cm="1">
        <f t="array" ref="H21">SUMPRODUCT((tbl_ErrorKey[Error type]="Wrong tax category")*(COUNTIFS($B$27:$B$326,tbl_ErrorKey[Row ID],$P$27:$P$326,"Yes")&gt;0))</f>
        <v>3</v>
      </c>
      <c r="I21" s="171" t="str">
        <f>IF(H21=G21,"All "&amp;G21&amp;" seeded rows detected","Detects "&amp;H21&amp;" of "&amp;G21&amp;" seeded rows — "&amp;G21-H21&amp;" MISSED")</f>
        <v>All 3 seeded rows detected</v>
      </c>
      <c r="J21" s="148"/>
      <c r="K21" s="91" t="str">
        <f>IF(H21=G21,"All "&amp;G21&amp;" seeded rows detected","Detects "&amp;H21&amp;" of "&amp;G21&amp;" seeded rows — "&amp;G21-H21&amp;" MISSED")</f>
        <v>All 3 seeded rows detected</v>
      </c>
      <c r="L21" s="11"/>
      <c r="M21" s="11"/>
      <c r="N21" s="11"/>
      <c r="O21" s="11"/>
      <c r="P21" s="11"/>
      <c r="Q21" s="11"/>
    </row>
    <row r="22" spans="1:17" x14ac:dyDescent="0.3">
      <c r="A22" s="11"/>
      <c r="B22" s="91" t="s">
        <v>863</v>
      </c>
      <c r="C22" s="11"/>
      <c r="D22" s="11"/>
      <c r="E22" s="11"/>
      <c r="F22" s="148">
        <f>COUNTIF($Q$27:$Q$326,"Yes")</f>
        <v>15</v>
      </c>
      <c r="G22" s="148">
        <f>ROWS(tbl_ErrorKey[Row ID])</f>
        <v>12</v>
      </c>
      <c r="H22" s="148" cm="1">
        <f t="array" ref="H22">SUMPRODUCT((COUNTIFS($B$27:$B$326,tbl_ErrorKey[Row ID],$Q$27:$Q$326,"Yes")&gt;0)*1)</f>
        <v>12</v>
      </c>
      <c r="I22" s="171" t="str">
        <f>IF(H22=G22,"All "&amp;G22&amp;" seeded rows detected","Detects "&amp;H22&amp;" of "&amp;G22&amp;" seeded rows — "&amp;G22-H22&amp;" MISSED")</f>
        <v>All 12 seeded rows detected</v>
      </c>
      <c r="J22" s="148"/>
      <c r="K22" s="91" t="str">
        <f>IF(F22=G22,"OK — every Ledger row is tested","REVIEW — row counts differ")</f>
        <v>REVIEW — row counts differ</v>
      </c>
      <c r="L22" s="11"/>
      <c r="M22" s="11"/>
      <c r="N22" s="11"/>
      <c r="O22" s="11"/>
      <c r="P22" s="11"/>
      <c r="Q22" s="11"/>
    </row>
    <row r="23" spans="1:17" x14ac:dyDescent="0.3">
      <c r="A23" s="11"/>
      <c r="B23" s="91" t="s">
        <v>864</v>
      </c>
      <c r="C23" s="11"/>
      <c r="D23" s="11"/>
      <c r="E23" s="11"/>
      <c r="F23" s="148">
        <f>COUNTA($B$27:$B$326)</f>
        <v>300</v>
      </c>
      <c r="G23" s="148">
        <f>ROWS(tbl_Ledger[Row ID])</f>
        <v>300</v>
      </c>
      <c r="H23" s="148">
        <f>F23</f>
        <v>300</v>
      </c>
      <c r="I23" s="99" t="str">
        <f>IF(F23=G23,"OK — every Ledger row is tested","REVIEW — row counts differ")</f>
        <v>OK — every Ledger row is tested</v>
      </c>
      <c r="J23" s="11"/>
      <c r="K23" s="11"/>
      <c r="L23" s="11"/>
      <c r="M23" s="11"/>
      <c r="N23" s="11"/>
      <c r="O23" s="11"/>
      <c r="P23" s="11"/>
      <c r="Q23" s="11"/>
    </row>
    <row r="24" spans="1:17" ht="15.6" x14ac:dyDescent="0.3">
      <c r="A24" s="11"/>
      <c r="B24" s="144" t="s">
        <v>847</v>
      </c>
      <c r="C24" s="11"/>
      <c r="D24" s="11"/>
      <c r="E24" s="11"/>
      <c r="F24" s="11"/>
      <c r="G24" s="11"/>
      <c r="H24" s="11"/>
      <c r="I24" s="11"/>
      <c r="J24" s="11"/>
      <c r="K24" s="11"/>
      <c r="L24" s="11"/>
      <c r="M24" s="11"/>
      <c r="N24" s="11"/>
      <c r="O24" s="11"/>
      <c r="P24" s="11"/>
      <c r="Q24" s="11"/>
    </row>
    <row r="25" spans="1:17" x14ac:dyDescent="0.3">
      <c r="A25" s="11"/>
      <c r="B25" s="11"/>
      <c r="C25" s="108" t="s">
        <v>848</v>
      </c>
      <c r="D25" s="108"/>
      <c r="E25" s="108"/>
      <c r="F25" s="108"/>
      <c r="G25" s="108"/>
      <c r="H25" s="108"/>
      <c r="I25" s="108"/>
      <c r="J25" s="108"/>
      <c r="K25" s="108"/>
      <c r="L25" s="150" t="s">
        <v>849</v>
      </c>
      <c r="M25" s="150"/>
      <c r="N25" s="150"/>
      <c r="O25" s="150"/>
      <c r="P25" s="150"/>
      <c r="Q25" s="150"/>
    </row>
    <row r="26" spans="1:17" x14ac:dyDescent="0.3">
      <c r="A26" s="11"/>
      <c r="B26" s="151" t="s">
        <v>236</v>
      </c>
      <c r="C26" s="151" t="s">
        <v>237</v>
      </c>
      <c r="D26" s="151" t="s">
        <v>242</v>
      </c>
      <c r="E26" s="151" t="s">
        <v>240</v>
      </c>
      <c r="F26" s="151" t="s">
        <v>172</v>
      </c>
      <c r="G26" s="151" t="s">
        <v>850</v>
      </c>
      <c r="H26" s="151" t="s">
        <v>247</v>
      </c>
      <c r="I26" s="151" t="s">
        <v>238</v>
      </c>
      <c r="J26" s="151" t="s">
        <v>239</v>
      </c>
      <c r="K26" s="151" t="s">
        <v>851</v>
      </c>
      <c r="L26" s="151" t="s">
        <v>852</v>
      </c>
      <c r="M26" s="151" t="s">
        <v>853</v>
      </c>
      <c r="N26" s="151" t="s">
        <v>854</v>
      </c>
      <c r="O26" s="151" t="s">
        <v>855</v>
      </c>
      <c r="P26" s="151" t="s">
        <v>877</v>
      </c>
      <c r="Q26" s="151" t="s">
        <v>856</v>
      </c>
    </row>
    <row r="27" spans="1:17" x14ac:dyDescent="0.3">
      <c r="A27" s="11"/>
      <c r="B27" s="152" cm="1">
        <f t="array" ref="B27">INDEX(tbl_Ledger[Row ID],ROWS($B$27:$B27))</f>
        <v>1</v>
      </c>
      <c r="C27" s="153" cm="1">
        <f t="array" ref="C27">INDEX(tbl_Ledger[Date],ROWS($B$27:$B27))</f>
        <v>46023</v>
      </c>
      <c r="D27" s="152" t="str" cm="1">
        <f t="array" ref="D27">IF(INDEX(tbl_Ledger[Invoice Number],ROWS($B$27:$B27))="","",INDEX(tbl_Ledger[Invoice Number],ROWS($B$27:$B27)))</f>
        <v>NHL-2026-0001</v>
      </c>
      <c r="E27" s="152" t="str" cm="1">
        <f t="array" ref="E27">INDEX(tbl_Ledger[Tax Category],ROWS($B$27:$B27))</f>
        <v>OUT_STD</v>
      </c>
      <c r="F27" s="152" t="str" cm="1">
        <f t="array" ref="F27">INDEX(tbl_Ledger[Direction],ROWS($B$27:$B27))</f>
        <v>Inflow</v>
      </c>
      <c r="G27" s="154" cm="1">
        <f t="array" ref="G27">INDEX(tbl_Ledger[Tax Charged on Invoice],ROWS($B$27:$B27))</f>
        <v>3995.8</v>
      </c>
      <c r="H27" s="154" cm="1">
        <f t="array" ref="H27">INDEX(tbl_Ledger[Expected Total Tax],ROWS($B$27:$B27))</f>
        <v>3995.7999999999997</v>
      </c>
      <c r="I27" s="154" t="str" cm="1">
        <f t="array" ref="I27">INDEX(tbl_Ledger[Description],ROWS($B$27:$B27))</f>
        <v>Bulk haulage of ATK, Kumasi-Sunyani, 9 trips</v>
      </c>
      <c r="J27" s="154" t="str" cm="1">
        <f t="array" ref="J27">INDEX(tbl_Ledger[Counterparty],ROWS($B$27:$B27))</f>
        <v>Golden Harmattan Energy Ltd</v>
      </c>
      <c r="K27" s="155" t="str">
        <f>IF(COUNTIF(Dup_Exclusions,$E27)&gt;0,"No","Yes")</f>
        <v>Yes</v>
      </c>
      <c r="L27" s="156" t="str">
        <f>IF(AND($D27="",COUNTIF(NoInv_Exempt,$E27)=0),"Yes","No")</f>
        <v>No</v>
      </c>
      <c r="M27" s="156" t="str" cm="1">
        <f t="array" ref="M27">IF(AND($D27&lt;&gt;"",$K27="Yes"),IF(SUMPRODUCT((tbl_Ledger[Invoice Number]=$D27)*(COUNTIF(Dup_Exclusions,tbl_Ledger[Tax Category])=0))&gt;1,"Yes","No"),"No")</f>
        <v>No</v>
      </c>
      <c r="N27" s="156" t="str">
        <f>IF(ABS($G27-$H27)&gt;Tax_Tolerance,"Yes","No")</f>
        <v>No</v>
      </c>
      <c r="O27" s="156" t="str">
        <f>IF(OR(AND($F27="Inflow",LEFT($E27,LEN(Prefix_Outflow))=Prefix_Outflow),AND($F27="Outflow",LEFT($E27,LEN(Prefix_Inflow))=Prefix_Inflow)),"Yes","No")</f>
        <v>No</v>
      </c>
      <c r="P27" s="156" t="str" cm="1">
        <f t="array" ref="P27">IF(AND(COUNTIF(Suspect_Categories,$E27)&gt;0,SUMPRODUCT(--ISNUMBER(SEARCH(Suspect_Keywords,$I27&amp;" "&amp;$J27)))&gt;0),"Yes","No")</f>
        <v>No</v>
      </c>
      <c r="Q27" s="156" t="str">
        <f t="shared" ref="Q27:Q218" si="0">IF(COUNTIF($L27:$P27,"Yes")&gt;0,"Yes","No")</f>
        <v>No</v>
      </c>
    </row>
    <row r="28" spans="1:17" x14ac:dyDescent="0.3">
      <c r="A28" s="11"/>
      <c r="B28" s="157" cm="1">
        <f t="array" ref="B28">INDEX(tbl_Ledger[Row ID],ROWS($B$27:$B28))</f>
        <v>2</v>
      </c>
      <c r="C28" s="158" cm="1">
        <f t="array" ref="C28">INDEX(tbl_Ledger[Date],ROWS($B$27:$B28))</f>
        <v>46025</v>
      </c>
      <c r="D28" s="157" t="str" cm="1">
        <f t="array" ref="D28">IF(INDEX(tbl_Ledger[Invoice Number],ROWS($B$27:$B28))="","",INDEX(tbl_Ledger[Invoice Number],ROWS($B$27:$B28)))</f>
        <v>NHL-2026-0002</v>
      </c>
      <c r="E28" s="157" t="str" cm="1">
        <f t="array" ref="E28">INDEX(tbl_Ledger[Tax Category],ROWS($B$27:$B28))</f>
        <v>OUT_STD</v>
      </c>
      <c r="F28" s="157" t="str" cm="1">
        <f t="array" ref="F28">INDEX(tbl_Ledger[Direction],ROWS($B$27:$B28))</f>
        <v>Inflow</v>
      </c>
      <c r="G28" s="159" cm="1">
        <f t="array" ref="G28">INDEX(tbl_Ledger[Tax Charged on Invoice],ROWS($B$27:$B28))</f>
        <v>12648.4</v>
      </c>
      <c r="H28" s="159" cm="1">
        <f t="array" ref="H28">INDEX(tbl_Ledger[Expected Total Tax],ROWS($B$27:$B28))</f>
        <v>12648.399999999998</v>
      </c>
      <c r="I28" s="159" t="str" cm="1">
        <f t="array" ref="I28">INDEX(tbl_Ledger[Description],ROWS($B$27:$B28))</f>
        <v>Bulk haulage of ATK, Tema-Takoradi, 3 trips</v>
      </c>
      <c r="J28" s="159" t="str" cm="1">
        <f t="array" ref="J28">INDEX(tbl_Ledger[Counterparty],ROWS($B$27:$B28))</f>
        <v>Tema Bulk Energy Ltd</v>
      </c>
      <c r="K28" s="160" t="str">
        <f>IF(COUNTIF(Dup_Exclusions,$E28)&gt;0,"No","Yes")</f>
        <v>Yes</v>
      </c>
      <c r="L28" s="161" t="str">
        <f>IF(AND($D28="",COUNTIF(NoInv_Exempt,$E28)=0),"Yes","No")</f>
        <v>No</v>
      </c>
      <c r="M28" s="161" t="str" cm="1">
        <f t="array" ref="M28">IF(AND($D28&lt;&gt;"",$K28="Yes"),IF(SUMPRODUCT((tbl_Ledger[Invoice Number]=$D28)*(COUNTIF(Dup_Exclusions,tbl_Ledger[Tax Category])=0))&gt;1,"Yes","No"),"No")</f>
        <v>No</v>
      </c>
      <c r="N28" s="161" t="str">
        <f>IF(ABS($G28-$H28)&gt;Tax_Tolerance,"Yes","No")</f>
        <v>No</v>
      </c>
      <c r="O28" s="161" t="str">
        <f>IF(OR(AND($F28="Inflow",LEFT($E28,LEN(Prefix_Outflow))=Prefix_Outflow),AND($F28="Outflow",LEFT($E28,LEN(Prefix_Inflow))=Prefix_Inflow)),"Yes","No")</f>
        <v>No</v>
      </c>
      <c r="P28" s="161" t="str" cm="1">
        <f t="array" ref="P28">IF(AND(COUNTIF(Suspect_Categories,$E28)&gt;0,SUMPRODUCT(--ISNUMBER(SEARCH(Suspect_Keywords,$I28&amp;" "&amp;$J28)))&gt;0),"Yes","No")</f>
        <v>No</v>
      </c>
      <c r="Q28" s="161" t="str">
        <f t="shared" si="0"/>
        <v>No</v>
      </c>
    </row>
    <row r="29" spans="1:17" x14ac:dyDescent="0.3">
      <c r="A29" s="11"/>
      <c r="B29" s="157" cm="1">
        <f t="array" ref="B29">INDEX(tbl_Ledger[Row ID],ROWS($B$27:$B29))</f>
        <v>3</v>
      </c>
      <c r="C29" s="158" cm="1">
        <f t="array" ref="C29">INDEX(tbl_Ledger[Date],ROWS($B$27:$B29))</f>
        <v>46026</v>
      </c>
      <c r="D29" s="157" t="str" cm="1">
        <f t="array" ref="D29">IF(INDEX(tbl_Ledger[Invoice Number],ROWS($B$27:$B29))="","",INDEX(tbl_Ledger[Invoice Number],ROWS($B$27:$B29)))</f>
        <v>SIN-2026-0001</v>
      </c>
      <c r="E29" s="157" t="str" cm="1">
        <f t="array" ref="E29">INDEX(tbl_Ledger[Tax Category],ROWS($B$27:$B29))</f>
        <v>IN_STD</v>
      </c>
      <c r="F29" s="157" t="str" cm="1">
        <f t="array" ref="F29">INDEX(tbl_Ledger[Direction],ROWS($B$27:$B29))</f>
        <v>Outflow</v>
      </c>
      <c r="G29" s="159" cm="1">
        <f t="array" ref="G29">INDEX(tbl_Ledger[Tax Charged on Invoice],ROWS($B$27:$B29))</f>
        <v>334</v>
      </c>
      <c r="H29" s="159" cm="1">
        <f t="array" ref="H29">INDEX(tbl_Ledger[Expected Total Tax],ROWS($B$27:$B29))</f>
        <v>334</v>
      </c>
      <c r="I29" s="159" t="str" cm="1">
        <f t="array" ref="I29">INDEX(tbl_Ledger[Description],ROWS($B$27:$B29))</f>
        <v>Mobile and data services</v>
      </c>
      <c r="J29" s="159" t="str" cm="1">
        <f t="array" ref="J29">INDEX(tbl_Ledger[Counterparty],ROWS($B$27:$B29))</f>
        <v>Sahara Fleet Services Ltd</v>
      </c>
      <c r="K29" s="160" t="str">
        <f>IF(COUNTIF(Dup_Exclusions,$E29)&gt;0,"No","Yes")</f>
        <v>Yes</v>
      </c>
      <c r="L29" s="161" t="str">
        <f>IF(AND($D29="",COUNTIF(NoInv_Exempt,$E29)=0),"Yes","No")</f>
        <v>No</v>
      </c>
      <c r="M29" s="161" t="str" cm="1">
        <f t="array" ref="M29">IF(AND($D29&lt;&gt;"",$K29="Yes"),IF(SUMPRODUCT((tbl_Ledger[Invoice Number]=$D29)*(COUNTIF(Dup_Exclusions,tbl_Ledger[Tax Category])=0))&gt;1,"Yes","No"),"No")</f>
        <v>No</v>
      </c>
      <c r="N29" s="161" t="str">
        <f>IF(ABS($G29-$H29)&gt;Tax_Tolerance,"Yes","No")</f>
        <v>No</v>
      </c>
      <c r="O29" s="161" t="str">
        <f>IF(OR(AND($F29="Inflow",LEFT($E29,LEN(Prefix_Outflow))=Prefix_Outflow),AND($F29="Outflow",LEFT($E29,LEN(Prefix_Inflow))=Prefix_Inflow)),"Yes","No")</f>
        <v>No</v>
      </c>
      <c r="P29" s="161" t="str" cm="1">
        <f t="array" ref="P29">IF(AND(COUNTIF(Suspect_Categories,$E29)&gt;0,SUMPRODUCT(--ISNUMBER(SEARCH(Suspect_Keywords,$I29&amp;" "&amp;$J29)))&gt;0),"Yes","No")</f>
        <v>No</v>
      </c>
      <c r="Q29" s="161" t="str">
        <f t="shared" si="0"/>
        <v>No</v>
      </c>
    </row>
    <row r="30" spans="1:17" x14ac:dyDescent="0.3">
      <c r="A30" s="11"/>
      <c r="B30" s="157" cm="1">
        <f t="array" ref="B30">INDEX(tbl_Ledger[Row ID],ROWS($B$27:$B30))</f>
        <v>4</v>
      </c>
      <c r="C30" s="158" cm="1">
        <f t="array" ref="C30">INDEX(tbl_Ledger[Date],ROWS($B$27:$B30))</f>
        <v>46027</v>
      </c>
      <c r="D30" s="157" t="str" cm="1">
        <f t="array" ref="D30">IF(INDEX(tbl_Ledger[Invoice Number],ROWS($B$27:$B30))="","",INDEX(tbl_Ledger[Invoice Number],ROWS($B$27:$B30)))</f>
        <v>NHL-2026-0003</v>
      </c>
      <c r="E30" s="157" t="str" cm="1">
        <f t="array" ref="E30">INDEX(tbl_Ledger[Tax Category],ROWS($B$27:$B30))</f>
        <v>WHT_SVC</v>
      </c>
      <c r="F30" s="157" t="str" cm="1">
        <f t="array" ref="F30">INDEX(tbl_Ledger[Direction],ROWS($B$27:$B30))</f>
        <v>Inflow</v>
      </c>
      <c r="G30" s="159" cm="1">
        <f t="array" ref="G30">INDEX(tbl_Ledger[Tax Charged on Invoice],ROWS($B$27:$B30))</f>
        <v>13722.8</v>
      </c>
      <c r="H30" s="159" cm="1">
        <f t="array" ref="H30">INDEX(tbl_Ledger[Expected Total Tax],ROWS($B$27:$B30))</f>
        <v>13722.800000000001</v>
      </c>
      <c r="I30" s="159" t="str" cm="1">
        <f t="array" ref="I30">INDEX(tbl_Ledger[Description],ROWS($B$27:$B30))</f>
        <v>Contract haulage of PMS, Tema-Ho; customer withheld income tax at 7.5% on the service fee</v>
      </c>
      <c r="J30" s="159" t="str" cm="1">
        <f t="array" ref="J30">INDEX(tbl_Ledger[Counterparty],ROWS($B$27:$B30))</f>
        <v>Tema Bulk Energy Ltd</v>
      </c>
      <c r="K30" s="160" t="str">
        <f>IF(COUNTIF(Dup_Exclusions,$E30)&gt;0,"No","Yes")</f>
        <v>Yes</v>
      </c>
      <c r="L30" s="161" t="str">
        <f>IF(AND($D30="",COUNTIF(NoInv_Exempt,$E30)=0),"Yes","No")</f>
        <v>No</v>
      </c>
      <c r="M30" s="161" t="str" cm="1">
        <f t="array" ref="M30">IF(AND($D30&lt;&gt;"",$K30="Yes"),IF(SUMPRODUCT((tbl_Ledger[Invoice Number]=$D30)*(COUNTIF(Dup_Exclusions,tbl_Ledger[Tax Category])=0))&gt;1,"Yes","No"),"No")</f>
        <v>No</v>
      </c>
      <c r="N30" s="161" t="str">
        <f>IF(ABS($G30-$H30)&gt;Tax_Tolerance,"Yes","No")</f>
        <v>No</v>
      </c>
      <c r="O30" s="161" t="str">
        <f>IF(OR(AND($F30="Inflow",LEFT($E30,LEN(Prefix_Outflow))=Prefix_Outflow),AND($F30="Outflow",LEFT($E30,LEN(Prefix_Inflow))=Prefix_Inflow)),"Yes","No")</f>
        <v>No</v>
      </c>
      <c r="P30" s="161" t="str" cm="1">
        <f t="array" ref="P30">IF(AND(COUNTIF(Suspect_Categories,$E30)&gt;0,SUMPRODUCT(--ISNUMBER(SEARCH(Suspect_Keywords,$I30&amp;" "&amp;$J30)))&gt;0),"Yes","No")</f>
        <v>No</v>
      </c>
      <c r="Q30" s="161" t="str">
        <f t="shared" si="0"/>
        <v>No</v>
      </c>
    </row>
    <row r="31" spans="1:17" x14ac:dyDescent="0.3">
      <c r="A31" s="11"/>
      <c r="B31" s="157" cm="1">
        <f t="array" ref="B31">INDEX(tbl_Ledger[Row ID],ROWS($B$27:$B31))</f>
        <v>5</v>
      </c>
      <c r="C31" s="158" cm="1">
        <f t="array" ref="C31">INDEX(tbl_Ledger[Date],ROWS($B$27:$B31))</f>
        <v>46028</v>
      </c>
      <c r="D31" s="157" t="str" cm="1">
        <f t="array" ref="D31">IF(INDEX(tbl_Ledger[Invoice Number],ROWS($B$27:$B31))="","",INDEX(tbl_Ledger[Invoice Number],ROWS($B$27:$B31)))</f>
        <v>NHL-2026-0004</v>
      </c>
      <c r="E31" s="157" t="str" cm="1">
        <f t="array" ref="E31">INDEX(tbl_Ledger[Tax Category],ROWS($B$27:$B31))</f>
        <v>OUT_STD</v>
      </c>
      <c r="F31" s="157" t="str" cm="1">
        <f t="array" ref="F31">INDEX(tbl_Ledger[Direction],ROWS($B$27:$B31))</f>
        <v>Inflow</v>
      </c>
      <c r="G31" s="159" cm="1">
        <f t="array" ref="G31">INDEX(tbl_Ledger[Tax Charged on Invoice],ROWS($B$27:$B31))</f>
        <v>13309.4</v>
      </c>
      <c r="H31" s="159" cm="1">
        <f t="array" ref="H31">INDEX(tbl_Ledger[Expected Total Tax],ROWS($B$27:$B31))</f>
        <v>13309.399999999998</v>
      </c>
      <c r="I31" s="159" t="str" cm="1">
        <f t="array" ref="I31">INDEX(tbl_Ledger[Description],ROWS($B$27:$B31))</f>
        <v>Bulk haulage of AGO, Tema-Bolgatanga, 2 trips</v>
      </c>
      <c r="J31" s="159" t="str" cm="1">
        <f t="array" ref="J31">INDEX(tbl_Ledger[Counterparty],ROWS($B$27:$B31))</f>
        <v>Sankofa Petroleum Depot Ltd</v>
      </c>
      <c r="K31" s="160" t="str">
        <f>IF(COUNTIF(Dup_Exclusions,$E31)&gt;0,"No","Yes")</f>
        <v>Yes</v>
      </c>
      <c r="L31" s="161" t="str">
        <f>IF(AND($D31="",COUNTIF(NoInv_Exempt,$E31)=0),"Yes","No")</f>
        <v>No</v>
      </c>
      <c r="M31" s="161" t="str" cm="1">
        <f t="array" ref="M31">IF(AND($D31&lt;&gt;"",$K31="Yes"),IF(SUMPRODUCT((tbl_Ledger[Invoice Number]=$D31)*(COUNTIF(Dup_Exclusions,tbl_Ledger[Tax Category])=0))&gt;1,"Yes","No"),"No")</f>
        <v>No</v>
      </c>
      <c r="N31" s="161" t="str">
        <f>IF(ABS($G31-$H31)&gt;Tax_Tolerance,"Yes","No")</f>
        <v>No</v>
      </c>
      <c r="O31" s="161" t="str">
        <f>IF(OR(AND($F31="Inflow",LEFT($E31,LEN(Prefix_Outflow))=Prefix_Outflow),AND($F31="Outflow",LEFT($E31,LEN(Prefix_Inflow))=Prefix_Inflow)),"Yes","No")</f>
        <v>No</v>
      </c>
      <c r="P31" s="161" t="str" cm="1">
        <f t="array" ref="P31">IF(AND(COUNTIF(Suspect_Categories,$E31)&gt;0,SUMPRODUCT(--ISNUMBER(SEARCH(Suspect_Keywords,$I31&amp;" "&amp;$J31)))&gt;0),"Yes","No")</f>
        <v>No</v>
      </c>
      <c r="Q31" s="161" t="str">
        <f t="shared" si="0"/>
        <v>No</v>
      </c>
    </row>
    <row r="32" spans="1:17" x14ac:dyDescent="0.3">
      <c r="A32" s="11"/>
      <c r="B32" s="157" cm="1">
        <f t="array" ref="B32">INDEX(tbl_Ledger[Row ID],ROWS($B$27:$B32))</f>
        <v>6</v>
      </c>
      <c r="C32" s="158" cm="1">
        <f t="array" ref="C32">INDEX(tbl_Ledger[Date],ROWS($B$27:$B32))</f>
        <v>46028</v>
      </c>
      <c r="D32" s="157" t="str" cm="1">
        <f t="array" ref="D32">IF(INDEX(tbl_Ledger[Invoice Number],ROWS($B$27:$B32))="","",INDEX(tbl_Ledger[Invoice Number],ROWS($B$27:$B32)))</f>
        <v>NHL-2026-0005</v>
      </c>
      <c r="E32" s="157" t="str" cm="1">
        <f t="array" ref="E32">INDEX(tbl_Ledger[Tax Category],ROWS($B$27:$B32))</f>
        <v>WHT_SVC</v>
      </c>
      <c r="F32" s="157" t="str" cm="1">
        <f t="array" ref="F32">INDEX(tbl_Ledger[Direction],ROWS($B$27:$B32))</f>
        <v>Inflow</v>
      </c>
      <c r="G32" s="159" cm="1">
        <f t="array" ref="G32">INDEX(tbl_Ledger[Tax Charged on Invoice],ROWS($B$27:$B32))</f>
        <v>11735.6</v>
      </c>
      <c r="H32" s="159" cm="1">
        <f t="array" ref="H32">INDEX(tbl_Ledger[Expected Total Tax],ROWS($B$27:$B32))</f>
        <v>11735.6</v>
      </c>
      <c r="I32" s="159" t="str" cm="1">
        <f t="array" ref="I32">INDEX(tbl_Ledger[Description],ROWS($B$27:$B32))</f>
        <v>Contract haulage of AGO, Tema-Bolgatanga; customer withheld income tax at 7.5% on the service fee</v>
      </c>
      <c r="J32" s="159" t="str" cm="1">
        <f t="array" ref="J32">INDEX(tbl_Ledger[Counterparty],ROWS($B$27:$B32))</f>
        <v>Tema Bulk Energy Ltd</v>
      </c>
      <c r="K32" s="160" t="str">
        <f>IF(COUNTIF(Dup_Exclusions,$E32)&gt;0,"No","Yes")</f>
        <v>Yes</v>
      </c>
      <c r="L32" s="161" t="str">
        <f>IF(AND($D32="",COUNTIF(NoInv_Exempt,$E32)=0),"Yes","No")</f>
        <v>No</v>
      </c>
      <c r="M32" s="161" t="str" cm="1">
        <f t="array" ref="M32">IF(AND($D32&lt;&gt;"",$K32="Yes"),IF(SUMPRODUCT((tbl_Ledger[Invoice Number]=$D32)*(COUNTIF(Dup_Exclusions,tbl_Ledger[Tax Category])=0))&gt;1,"Yes","No"),"No")</f>
        <v>No</v>
      </c>
      <c r="N32" s="161" t="str">
        <f>IF(ABS($G32-$H32)&gt;Tax_Tolerance,"Yes","No")</f>
        <v>No</v>
      </c>
      <c r="O32" s="161" t="str">
        <f>IF(OR(AND($F32="Inflow",LEFT($E32,LEN(Prefix_Outflow))=Prefix_Outflow),AND($F32="Outflow",LEFT($E32,LEN(Prefix_Inflow))=Prefix_Inflow)),"Yes","No")</f>
        <v>No</v>
      </c>
      <c r="P32" s="161" t="str" cm="1">
        <f t="array" ref="P32">IF(AND(COUNTIF(Suspect_Categories,$E32)&gt;0,SUMPRODUCT(--ISNUMBER(SEARCH(Suspect_Keywords,$I32&amp;" "&amp;$J32)))&gt;0),"Yes","No")</f>
        <v>No</v>
      </c>
      <c r="Q32" s="161" t="str">
        <f t="shared" si="0"/>
        <v>No</v>
      </c>
    </row>
    <row r="33" spans="1:17" x14ac:dyDescent="0.3">
      <c r="A33" s="11"/>
      <c r="B33" s="157" cm="1">
        <f t="array" ref="B33">INDEX(tbl_Ledger[Row ID],ROWS($B$27:$B33))</f>
        <v>7</v>
      </c>
      <c r="C33" s="158" cm="1">
        <f t="array" ref="C33">INDEX(tbl_Ledger[Date],ROWS($B$27:$B33))</f>
        <v>46029</v>
      </c>
      <c r="D33" s="157" t="str" cm="1">
        <f t="array" ref="D33">IF(INDEX(tbl_Ledger[Invoice Number],ROWS($B$27:$B33))="","",INDEX(tbl_Ledger[Invoice Number],ROWS($B$27:$B33)))</f>
        <v>NHL-2026-0006</v>
      </c>
      <c r="E33" s="157" t="str" cm="1">
        <f t="array" ref="E33">INDEX(tbl_Ledger[Tax Category],ROWS($B$27:$B33))</f>
        <v>OUT_STD</v>
      </c>
      <c r="F33" s="157" t="str" cm="1">
        <f t="array" ref="F33">INDEX(tbl_Ledger[Direction],ROWS($B$27:$B33))</f>
        <v>Inflow</v>
      </c>
      <c r="G33" s="159" cm="1">
        <f t="array" ref="G33">INDEX(tbl_Ledger[Tax Charged on Invoice],ROWS($B$27:$B33))</f>
        <v>18186.599999999999</v>
      </c>
      <c r="H33" s="159" cm="1">
        <f t="array" ref="H33">INDEX(tbl_Ledger[Expected Total Tax],ROWS($B$27:$B33))</f>
        <v>18186.599999999999</v>
      </c>
      <c r="I33" s="159" t="str" cm="1">
        <f t="array" ref="I33">INDEX(tbl_Ledger[Description],ROWS($B$27:$B33))</f>
        <v>Bulk haulage of AGO, Takoradi-Wa, 7 trips</v>
      </c>
      <c r="J33" s="159" t="str" cm="1">
        <f t="array" ref="J33">INDEX(tbl_Ledger[Counterparty],ROWS($B$27:$B33))</f>
        <v>Golden Harmattan Energy Ltd</v>
      </c>
      <c r="K33" s="160" t="str">
        <f>IF(COUNTIF(Dup_Exclusions,$E33)&gt;0,"No","Yes")</f>
        <v>Yes</v>
      </c>
      <c r="L33" s="161" t="str">
        <f>IF(AND($D33="",COUNTIF(NoInv_Exempt,$E33)=0),"Yes","No")</f>
        <v>No</v>
      </c>
      <c r="M33" s="161" t="str" cm="1">
        <f t="array" ref="M33">IF(AND($D33&lt;&gt;"",$K33="Yes"),IF(SUMPRODUCT((tbl_Ledger[Invoice Number]=$D33)*(COUNTIF(Dup_Exclusions,tbl_Ledger[Tax Category])=0))&gt;1,"Yes","No"),"No")</f>
        <v>No</v>
      </c>
      <c r="N33" s="161" t="str">
        <f>IF(ABS($G33-$H33)&gt;Tax_Tolerance,"Yes","No")</f>
        <v>No</v>
      </c>
      <c r="O33" s="161" t="str">
        <f>IF(OR(AND($F33="Inflow",LEFT($E33,LEN(Prefix_Outflow))=Prefix_Outflow),AND($F33="Outflow",LEFT($E33,LEN(Prefix_Inflow))=Prefix_Inflow)),"Yes","No")</f>
        <v>No</v>
      </c>
      <c r="P33" s="161" t="str" cm="1">
        <f t="array" ref="P33">IF(AND(COUNTIF(Suspect_Categories,$E33)&gt;0,SUMPRODUCT(--ISNUMBER(SEARCH(Suspect_Keywords,$I33&amp;" "&amp;$J33)))&gt;0),"Yes","No")</f>
        <v>No</v>
      </c>
      <c r="Q33" s="161" t="str">
        <f t="shared" si="0"/>
        <v>No</v>
      </c>
    </row>
    <row r="34" spans="1:17" x14ac:dyDescent="0.3">
      <c r="A34" s="11"/>
      <c r="B34" s="157" cm="1">
        <f t="array" ref="B34">INDEX(tbl_Ledger[Row ID],ROWS($B$27:$B34))</f>
        <v>8</v>
      </c>
      <c r="C34" s="158" cm="1">
        <f t="array" ref="C34">INDEX(tbl_Ledger[Date],ROWS($B$27:$B34))</f>
        <v>46032</v>
      </c>
      <c r="D34" s="157" t="str" cm="1">
        <f t="array" ref="D34">IF(INDEX(tbl_Ledger[Invoice Number],ROWS($B$27:$B34))="","",INDEX(tbl_Ledger[Invoice Number],ROWS($B$27:$B34)))</f>
        <v>SIN-2026-0002</v>
      </c>
      <c r="E34" s="157" t="str" cm="1">
        <f t="array" ref="E34">INDEX(tbl_Ledger[Tax Category],ROWS($B$27:$B34))</f>
        <v>IN_EXEMPT</v>
      </c>
      <c r="F34" s="157" t="str" cm="1">
        <f t="array" ref="F34">INDEX(tbl_Ledger[Direction],ROWS($B$27:$B34))</f>
        <v>Outflow</v>
      </c>
      <c r="G34" s="159" cm="1">
        <f t="array" ref="G34">INDEX(tbl_Ledger[Tax Charged on Invoice],ROWS($B$27:$B34))</f>
        <v>0</v>
      </c>
      <c r="H34" s="159" cm="1">
        <f t="array" ref="H34">INDEX(tbl_Ledger[Expected Total Tax],ROWS($B$27:$B34))</f>
        <v>0</v>
      </c>
      <c r="I34" s="159" t="str" cm="1">
        <f t="array" ref="I34">INDEX(tbl_Ledger[Description],ROWS($B$27:$B34))</f>
        <v>Diesel (AGO) purchased for own fleet use, 10,136 litres</v>
      </c>
      <c r="J34" s="159" t="str" cm="1">
        <f t="array" ref="J34">INDEX(tbl_Ledger[Counterparty],ROWS($B$27:$B34))</f>
        <v>Zenith Fuel Depot Ltd</v>
      </c>
      <c r="K34" s="160" t="str">
        <f>IF(COUNTIF(Dup_Exclusions,$E34)&gt;0,"No","Yes")</f>
        <v>Yes</v>
      </c>
      <c r="L34" s="161" t="str">
        <f>IF(AND($D34="",COUNTIF(NoInv_Exempt,$E34)=0),"Yes","No")</f>
        <v>No</v>
      </c>
      <c r="M34" s="161" t="str" cm="1">
        <f t="array" ref="M34">IF(AND($D34&lt;&gt;"",$K34="Yes"),IF(SUMPRODUCT((tbl_Ledger[Invoice Number]=$D34)*(COUNTIF(Dup_Exclusions,tbl_Ledger[Tax Category])=0))&gt;1,"Yes","No"),"No")</f>
        <v>No</v>
      </c>
      <c r="N34" s="161" t="str">
        <f>IF(ABS($G34-$H34)&gt;Tax_Tolerance,"Yes","No")</f>
        <v>No</v>
      </c>
      <c r="O34" s="161" t="str">
        <f>IF(OR(AND($F34="Inflow",LEFT($E34,LEN(Prefix_Outflow))=Prefix_Outflow),AND($F34="Outflow",LEFT($E34,LEN(Prefix_Inflow))=Prefix_Inflow)),"Yes","No")</f>
        <v>No</v>
      </c>
      <c r="P34" s="161" t="str" cm="1">
        <f t="array" ref="P34">IF(AND(COUNTIF(Suspect_Categories,$E34)&gt;0,SUMPRODUCT(--ISNUMBER(SEARCH(Suspect_Keywords,$I34&amp;" "&amp;$J34)))&gt;0),"Yes","No")</f>
        <v>No</v>
      </c>
      <c r="Q34" s="161" t="str">
        <f t="shared" si="0"/>
        <v>No</v>
      </c>
    </row>
    <row r="35" spans="1:17" x14ac:dyDescent="0.3">
      <c r="A35" s="11"/>
      <c r="B35" s="157" cm="1">
        <f t="array" ref="B35">INDEX(tbl_Ledger[Row ID],ROWS($B$27:$B35))</f>
        <v>9</v>
      </c>
      <c r="C35" s="158" cm="1">
        <f t="array" ref="C35">INDEX(tbl_Ledger[Date],ROWS($B$27:$B35))</f>
        <v>46032</v>
      </c>
      <c r="D35" s="157" t="str" cm="1">
        <f t="array" ref="D35">IF(INDEX(tbl_Ledger[Invoice Number],ROWS($B$27:$B35))="","",INDEX(tbl_Ledger[Invoice Number],ROWS($B$27:$B35)))</f>
        <v>SIN-2026-0003</v>
      </c>
      <c r="E35" s="157" t="str" cm="1">
        <f t="array" ref="E35">INDEX(tbl_Ledger[Tax Category],ROWS($B$27:$B35))</f>
        <v>IN_EXEMPT</v>
      </c>
      <c r="F35" s="157" t="str" cm="1">
        <f t="array" ref="F35">INDEX(tbl_Ledger[Direction],ROWS($B$27:$B35))</f>
        <v>Outflow</v>
      </c>
      <c r="G35" s="159" cm="1">
        <f t="array" ref="G35">INDEX(tbl_Ledger[Tax Charged on Invoice],ROWS($B$27:$B35))</f>
        <v>0</v>
      </c>
      <c r="H35" s="159" cm="1">
        <f t="array" ref="H35">INDEX(tbl_Ledger[Expected Total Tax],ROWS($B$27:$B35))</f>
        <v>0</v>
      </c>
      <c r="I35" s="159" t="str" cm="1">
        <f t="array" ref="I35">INDEX(tbl_Ledger[Description],ROWS($B$27:$B35))</f>
        <v>Diesel (AGO) purchased for own fleet use, 8,242 litres</v>
      </c>
      <c r="J35" s="159" t="str" cm="1">
        <f t="array" ref="J35">INDEX(tbl_Ledger[Counterparty],ROWS($B$27:$B35))</f>
        <v>Zenith Fuel Depot Ltd</v>
      </c>
      <c r="K35" s="160" t="str">
        <f>IF(COUNTIF(Dup_Exclusions,$E35)&gt;0,"No","Yes")</f>
        <v>Yes</v>
      </c>
      <c r="L35" s="161" t="str">
        <f>IF(AND($D35="",COUNTIF(NoInv_Exempt,$E35)=0),"Yes","No")</f>
        <v>No</v>
      </c>
      <c r="M35" s="161" t="str" cm="1">
        <f t="array" ref="M35">IF(AND($D35&lt;&gt;"",$K35="Yes"),IF(SUMPRODUCT((tbl_Ledger[Invoice Number]=$D35)*(COUNTIF(Dup_Exclusions,tbl_Ledger[Tax Category])=0))&gt;1,"Yes","No"),"No")</f>
        <v>No</v>
      </c>
      <c r="N35" s="161" t="str">
        <f>IF(ABS($G35-$H35)&gt;Tax_Tolerance,"Yes","No")</f>
        <v>No</v>
      </c>
      <c r="O35" s="161" t="str">
        <f>IF(OR(AND($F35="Inflow",LEFT($E35,LEN(Prefix_Outflow))=Prefix_Outflow),AND($F35="Outflow",LEFT($E35,LEN(Prefix_Inflow))=Prefix_Inflow)),"Yes","No")</f>
        <v>No</v>
      </c>
      <c r="P35" s="161" t="str" cm="1">
        <f t="array" ref="P35">IF(AND(COUNTIF(Suspect_Categories,$E35)&gt;0,SUMPRODUCT(--ISNUMBER(SEARCH(Suspect_Keywords,$I35&amp;" "&amp;$J35)))&gt;0),"Yes","No")</f>
        <v>No</v>
      </c>
      <c r="Q35" s="161" t="str">
        <f t="shared" si="0"/>
        <v>No</v>
      </c>
    </row>
    <row r="36" spans="1:17" x14ac:dyDescent="0.3">
      <c r="A36" s="11"/>
      <c r="B36" s="157" cm="1">
        <f t="array" ref="B36">INDEX(tbl_Ledger[Row ID],ROWS($B$27:$B36))</f>
        <v>10</v>
      </c>
      <c r="C36" s="158" cm="1">
        <f t="array" ref="C36">INDEX(tbl_Ledger[Date],ROWS($B$27:$B36))</f>
        <v>46034</v>
      </c>
      <c r="D36" s="157" t="str" cm="1">
        <f t="array" ref="D36">IF(INDEX(tbl_Ledger[Invoice Number],ROWS($B$27:$B36))="","",INDEX(tbl_Ledger[Invoice Number],ROWS($B$27:$B36)))</f>
        <v>SIN-2026-0004</v>
      </c>
      <c r="E36" s="157" t="str" cm="1">
        <f t="array" ref="E36">INDEX(tbl_Ledger[Tax Category],ROWS($B$27:$B36))</f>
        <v>IN_EXEMPT</v>
      </c>
      <c r="F36" s="157" t="str" cm="1">
        <f t="array" ref="F36">INDEX(tbl_Ledger[Direction],ROWS($B$27:$B36))</f>
        <v>Outflow</v>
      </c>
      <c r="G36" s="159" cm="1">
        <f t="array" ref="G36">INDEX(tbl_Ledger[Tax Charged on Invoice],ROWS($B$27:$B36))</f>
        <v>0</v>
      </c>
      <c r="H36" s="159" cm="1">
        <f t="array" ref="H36">INDEX(tbl_Ledger[Expected Total Tax],ROWS($B$27:$B36))</f>
        <v>0</v>
      </c>
      <c r="I36" s="159" t="str" cm="1">
        <f t="array" ref="I36">INDEX(tbl_Ledger[Description],ROWS($B$27:$B36))</f>
        <v>Diesel (AGO) purchased for own fleet use, 16,629 litres</v>
      </c>
      <c r="J36" s="159" t="str" cm="1">
        <f t="array" ref="J36">INDEX(tbl_Ledger[Counterparty],ROWS($B$27:$B36))</f>
        <v>Zenith Fuel Depot Ltd</v>
      </c>
      <c r="K36" s="160" t="str">
        <f>IF(COUNTIF(Dup_Exclusions,$E36)&gt;0,"No","Yes")</f>
        <v>Yes</v>
      </c>
      <c r="L36" s="161" t="str">
        <f>IF(AND($D36="",COUNTIF(NoInv_Exempt,$E36)=0),"Yes","No")</f>
        <v>No</v>
      </c>
      <c r="M36" s="161" t="str" cm="1">
        <f t="array" ref="M36">IF(AND($D36&lt;&gt;"",$K36="Yes"),IF(SUMPRODUCT((tbl_Ledger[Invoice Number]=$D36)*(COUNTIF(Dup_Exclusions,tbl_Ledger[Tax Category])=0))&gt;1,"Yes","No"),"No")</f>
        <v>No</v>
      </c>
      <c r="N36" s="161" t="str">
        <f>IF(ABS($G36-$H36)&gt;Tax_Tolerance,"Yes","No")</f>
        <v>No</v>
      </c>
      <c r="O36" s="161" t="str">
        <f>IF(OR(AND($F36="Inflow",LEFT($E36,LEN(Prefix_Outflow))=Prefix_Outflow),AND($F36="Outflow",LEFT($E36,LEN(Prefix_Inflow))=Prefix_Inflow)),"Yes","No")</f>
        <v>No</v>
      </c>
      <c r="P36" s="161" t="str" cm="1">
        <f t="array" ref="P36">IF(AND(COUNTIF(Suspect_Categories,$E36)&gt;0,SUMPRODUCT(--ISNUMBER(SEARCH(Suspect_Keywords,$I36&amp;" "&amp;$J36)))&gt;0),"Yes","No")</f>
        <v>No</v>
      </c>
      <c r="Q36" s="161" t="str">
        <f t="shared" si="0"/>
        <v>No</v>
      </c>
    </row>
    <row r="37" spans="1:17" x14ac:dyDescent="0.3">
      <c r="A37" s="11"/>
      <c r="B37" s="157" cm="1">
        <f t="array" ref="B37">INDEX(tbl_Ledger[Row ID],ROWS($B$27:$B37))</f>
        <v>11</v>
      </c>
      <c r="C37" s="158" cm="1">
        <f t="array" ref="C37">INDEX(tbl_Ledger[Date],ROWS($B$27:$B37))</f>
        <v>46036</v>
      </c>
      <c r="D37" s="157" t="str" cm="1">
        <f t="array" ref="D37">IF(INDEX(tbl_Ledger[Invoice Number],ROWS($B$27:$B37))="","",INDEX(tbl_Ledger[Invoice Number],ROWS($B$27:$B37)))</f>
        <v>GRA-2026-0001</v>
      </c>
      <c r="E37" s="157" t="str" cm="1">
        <f t="array" ref="E37">INDEX(tbl_Ledger[Tax Category],ROWS($B$27:$B37))</f>
        <v>NO_VAT</v>
      </c>
      <c r="F37" s="157" t="str" cm="1">
        <f t="array" ref="F37">INDEX(tbl_Ledger[Direction],ROWS($B$27:$B37))</f>
        <v>Outflow</v>
      </c>
      <c r="G37" s="159" cm="1">
        <f t="array" ref="G37">INDEX(tbl_Ledger[Tax Charged on Invoice],ROWS($B$27:$B37))</f>
        <v>0</v>
      </c>
      <c r="H37" s="159" cm="1">
        <f t="array" ref="H37">INDEX(tbl_Ledger[Expected Total Tax],ROWS($B$27:$B37))</f>
        <v>0</v>
      </c>
      <c r="I37" s="159" t="str" cm="1">
        <f t="array" ref="I37">INDEX(tbl_Ledger[Description],ROWS($B$27:$B37))</f>
        <v>PAYE and SSNIT contributions - January</v>
      </c>
      <c r="J37" s="159" t="str" cm="1">
        <f t="array" ref="J37">INDEX(tbl_Ledger[Counterparty],ROWS($B$27:$B37))</f>
        <v>Ghana Revenue Authority</v>
      </c>
      <c r="K37" s="160" t="str">
        <f>IF(COUNTIF(Dup_Exclusions,$E37)&gt;0,"No","Yes")</f>
        <v>Yes</v>
      </c>
      <c r="L37" s="161" t="str">
        <f>IF(AND($D37="",COUNTIF(NoInv_Exempt,$E37)=0),"Yes","No")</f>
        <v>No</v>
      </c>
      <c r="M37" s="161" t="str" cm="1">
        <f t="array" ref="M37">IF(AND($D37&lt;&gt;"",$K37="Yes"),IF(SUMPRODUCT((tbl_Ledger[Invoice Number]=$D37)*(COUNTIF(Dup_Exclusions,tbl_Ledger[Tax Category])=0))&gt;1,"Yes","No"),"No")</f>
        <v>No</v>
      </c>
      <c r="N37" s="161" t="str">
        <f>IF(ABS($G37-$H37)&gt;Tax_Tolerance,"Yes","No")</f>
        <v>No</v>
      </c>
      <c r="O37" s="161" t="str">
        <f>IF(OR(AND($F37="Inflow",LEFT($E37,LEN(Prefix_Outflow))=Prefix_Outflow),AND($F37="Outflow",LEFT($E37,LEN(Prefix_Inflow))=Prefix_Inflow)),"Yes","No")</f>
        <v>No</v>
      </c>
      <c r="P37" s="161" t="str" cm="1">
        <f t="array" ref="P37">IF(AND(COUNTIF(Suspect_Categories,$E37)&gt;0,SUMPRODUCT(--ISNUMBER(SEARCH(Suspect_Keywords,$I37&amp;" "&amp;$J37)))&gt;0),"Yes","No")</f>
        <v>No</v>
      </c>
      <c r="Q37" s="161" t="str">
        <f t="shared" si="0"/>
        <v>No</v>
      </c>
    </row>
    <row r="38" spans="1:17" x14ac:dyDescent="0.3">
      <c r="A38" s="11"/>
      <c r="B38" s="157" cm="1">
        <f t="array" ref="B38">INDEX(tbl_Ledger[Row ID],ROWS($B$27:$B38))</f>
        <v>12</v>
      </c>
      <c r="C38" s="158" cm="1">
        <f t="array" ref="C38">INDEX(tbl_Ledger[Date],ROWS($B$27:$B38))</f>
        <v>46037</v>
      </c>
      <c r="D38" s="157" t="str" cm="1">
        <f t="array" ref="D38">IF(INDEX(tbl_Ledger[Invoice Number],ROWS($B$27:$B38))="","",INDEX(tbl_Ledger[Invoice Number],ROWS($B$27:$B38)))</f>
        <v>LN-2026-0001</v>
      </c>
      <c r="E38" s="157" t="str" cm="1">
        <f t="array" ref="E38">INDEX(tbl_Ledger[Tax Category],ROWS($B$27:$B38))</f>
        <v>NO_VAT</v>
      </c>
      <c r="F38" s="157" t="str" cm="1">
        <f t="array" ref="F38">INDEX(tbl_Ledger[Direction],ROWS($B$27:$B38))</f>
        <v>Outflow</v>
      </c>
      <c r="G38" s="159" cm="1">
        <f t="array" ref="G38">INDEX(tbl_Ledger[Tax Charged on Invoice],ROWS($B$27:$B38))</f>
        <v>0</v>
      </c>
      <c r="H38" s="159" cm="1">
        <f t="array" ref="H38">INDEX(tbl_Ledger[Expected Total Tax],ROWS($B$27:$B38))</f>
        <v>0</v>
      </c>
      <c r="I38" s="159" t="str" cm="1">
        <f t="array" ref="I38">INDEX(tbl_Ledger[Description],ROWS($B$27:$B38))</f>
        <v>Term loan repayment - principal and interest, instalment 1</v>
      </c>
      <c r="J38" s="159" t="str" cm="1">
        <f t="array" ref="J38">INDEX(tbl_Ledger[Counterparty],ROWS($B$27:$B38))</f>
        <v>Meridian Bank Ghana Ltd</v>
      </c>
      <c r="K38" s="160" t="str">
        <f>IF(COUNTIF(Dup_Exclusions,$E38)&gt;0,"No","Yes")</f>
        <v>Yes</v>
      </c>
      <c r="L38" s="161" t="str">
        <f>IF(AND($D38="",COUNTIF(NoInv_Exempt,$E38)=0),"Yes","No")</f>
        <v>No</v>
      </c>
      <c r="M38" s="161" t="str" cm="1">
        <f t="array" ref="M38">IF(AND($D38&lt;&gt;"",$K38="Yes"),IF(SUMPRODUCT((tbl_Ledger[Invoice Number]=$D38)*(COUNTIF(Dup_Exclusions,tbl_Ledger[Tax Category])=0))&gt;1,"Yes","No"),"No")</f>
        <v>No</v>
      </c>
      <c r="N38" s="161" t="str">
        <f>IF(ABS($G38-$H38)&gt;Tax_Tolerance,"Yes","No")</f>
        <v>No</v>
      </c>
      <c r="O38" s="161" t="str">
        <f>IF(OR(AND($F38="Inflow",LEFT($E38,LEN(Prefix_Outflow))=Prefix_Outflow),AND($F38="Outflow",LEFT($E38,LEN(Prefix_Inflow))=Prefix_Inflow)),"Yes","No")</f>
        <v>No</v>
      </c>
      <c r="P38" s="161" t="str" cm="1">
        <f t="array" ref="P38">IF(AND(COUNTIF(Suspect_Categories,$E38)&gt;0,SUMPRODUCT(--ISNUMBER(SEARCH(Suspect_Keywords,$I38&amp;" "&amp;$J38)))&gt;0),"Yes","No")</f>
        <v>No</v>
      </c>
      <c r="Q38" s="161" t="str">
        <f t="shared" si="0"/>
        <v>No</v>
      </c>
    </row>
    <row r="39" spans="1:17" x14ac:dyDescent="0.3">
      <c r="A39" s="11"/>
      <c r="B39" s="157" cm="1">
        <f t="array" ref="B39">INDEX(tbl_Ledger[Row ID],ROWS($B$27:$B39))</f>
        <v>13</v>
      </c>
      <c r="C39" s="158" cm="1">
        <f t="array" ref="C39">INDEX(tbl_Ledger[Date],ROWS($B$27:$B39))</f>
        <v>46038</v>
      </c>
      <c r="D39" s="157" t="str" cm="1">
        <f t="array" ref="D39">IF(INDEX(tbl_Ledger[Invoice Number],ROWS($B$27:$B39))="","",INDEX(tbl_Ledger[Invoice Number],ROWS($B$27:$B39)))</f>
        <v>SIN-2026-0005</v>
      </c>
      <c r="E39" s="157" t="str" cm="1">
        <f t="array" ref="E39">INDEX(tbl_Ledger[Tax Category],ROWS($B$27:$B39))</f>
        <v>IN_STD</v>
      </c>
      <c r="F39" s="157" t="str" cm="1">
        <f t="array" ref="F39">INDEX(tbl_Ledger[Direction],ROWS($B$27:$B39))</f>
        <v>Outflow</v>
      </c>
      <c r="G39" s="159" cm="1">
        <f t="array" ref="G39">INDEX(tbl_Ledger[Tax Charged on Invoice],ROWS($B$27:$B39))</f>
        <v>7382.6</v>
      </c>
      <c r="H39" s="159" cm="1">
        <f t="array" ref="H39">INDEX(tbl_Ledger[Expected Total Tax],ROWS($B$27:$B39))</f>
        <v>7382.5999999999995</v>
      </c>
      <c r="I39" s="159" t="str" cm="1">
        <f t="array" ref="I39">INDEX(tbl_Ledger[Description],ROWS($B$27:$B39))</f>
        <v>Replacement tyres for prime movers</v>
      </c>
      <c r="J39" s="159" t="str" cm="1">
        <f t="array" ref="J39">INDEX(tbl_Ledger[Counterparty],ROWS($B$27:$B39))</f>
        <v>Sahara Fleet Services Ltd</v>
      </c>
      <c r="K39" s="160" t="str">
        <f>IF(COUNTIF(Dup_Exclusions,$E39)&gt;0,"No","Yes")</f>
        <v>Yes</v>
      </c>
      <c r="L39" s="161" t="str">
        <f>IF(AND($D39="",COUNTIF(NoInv_Exempt,$E39)=0),"Yes","No")</f>
        <v>No</v>
      </c>
      <c r="M39" s="161" t="str" cm="1">
        <f t="array" ref="M39">IF(AND($D39&lt;&gt;"",$K39="Yes"),IF(SUMPRODUCT((tbl_Ledger[Invoice Number]=$D39)*(COUNTIF(Dup_Exclusions,tbl_Ledger[Tax Category])=0))&gt;1,"Yes","No"),"No")</f>
        <v>No</v>
      </c>
      <c r="N39" s="161" t="str">
        <f>IF(ABS($G39-$H39)&gt;Tax_Tolerance,"Yes","No")</f>
        <v>No</v>
      </c>
      <c r="O39" s="161" t="str">
        <f>IF(OR(AND($F39="Inflow",LEFT($E39,LEN(Prefix_Outflow))=Prefix_Outflow),AND($F39="Outflow",LEFT($E39,LEN(Prefix_Inflow))=Prefix_Inflow)),"Yes","No")</f>
        <v>No</v>
      </c>
      <c r="P39" s="161" t="str" cm="1">
        <f t="array" ref="P39">IF(AND(COUNTIF(Suspect_Categories,$E39)&gt;0,SUMPRODUCT(--ISNUMBER(SEARCH(Suspect_Keywords,$I39&amp;" "&amp;$J39)))&gt;0),"Yes","No")</f>
        <v>No</v>
      </c>
      <c r="Q39" s="161" t="str">
        <f t="shared" si="0"/>
        <v>No</v>
      </c>
    </row>
    <row r="40" spans="1:17" x14ac:dyDescent="0.3">
      <c r="A40" s="11"/>
      <c r="B40" s="157" cm="1">
        <f t="array" ref="B40">INDEX(tbl_Ledger[Row ID],ROWS($B$27:$B40))</f>
        <v>14</v>
      </c>
      <c r="C40" s="158" cm="1">
        <f t="array" ref="C40">INDEX(tbl_Ledger[Date],ROWS($B$27:$B40))</f>
        <v>46039</v>
      </c>
      <c r="D40" s="157" t="str" cm="1">
        <f t="array" ref="D40">IF(INDEX(tbl_Ledger[Invoice Number],ROWS($B$27:$B40))="","",INDEX(tbl_Ledger[Invoice Number],ROWS($B$27:$B40)))</f>
        <v>NHL-2026-0007</v>
      </c>
      <c r="E40" s="157" t="str" cm="1">
        <f t="array" ref="E40">INDEX(tbl_Ledger[Tax Category],ROWS($B$27:$B40))</f>
        <v>OUT_STD</v>
      </c>
      <c r="F40" s="157" t="str" cm="1">
        <f t="array" ref="F40">INDEX(tbl_Ledger[Direction],ROWS($B$27:$B40))</f>
        <v>Inflow</v>
      </c>
      <c r="G40" s="159" cm="1">
        <f t="array" ref="G40">INDEX(tbl_Ledger[Tax Charged on Invoice],ROWS($B$27:$B40))</f>
        <v>5671.4</v>
      </c>
      <c r="H40" s="159" cm="1">
        <f t="array" ref="H40">INDEX(tbl_Ledger[Expected Total Tax],ROWS($B$27:$B40))</f>
        <v>5671.4000000000005</v>
      </c>
      <c r="I40" s="159" t="str" cm="1">
        <f t="array" ref="I40">INDEX(tbl_Ledger[Description],ROWS($B$27:$B40))</f>
        <v>Bulk haulage of AGO, Tema-Ho, 5 trips</v>
      </c>
      <c r="J40" s="159" t="str" cm="1">
        <f t="array" ref="J40">INDEX(tbl_Ledger[Counterparty],ROWS($B$27:$B40))</f>
        <v>Pra River Energy Ltd</v>
      </c>
      <c r="K40" s="160" t="str">
        <f>IF(COUNTIF(Dup_Exclusions,$E40)&gt;0,"No","Yes")</f>
        <v>Yes</v>
      </c>
      <c r="L40" s="161" t="str">
        <f>IF(AND($D40="",COUNTIF(NoInv_Exempt,$E40)=0),"Yes","No")</f>
        <v>No</v>
      </c>
      <c r="M40" s="161" t="str" cm="1">
        <f t="array" ref="M40">IF(AND($D40&lt;&gt;"",$K40="Yes"),IF(SUMPRODUCT((tbl_Ledger[Invoice Number]=$D40)*(COUNTIF(Dup_Exclusions,tbl_Ledger[Tax Category])=0))&gt;1,"Yes","No"),"No")</f>
        <v>No</v>
      </c>
      <c r="N40" s="161" t="str">
        <f>IF(ABS($G40-$H40)&gt;Tax_Tolerance,"Yes","No")</f>
        <v>No</v>
      </c>
      <c r="O40" s="161" t="str">
        <f>IF(OR(AND($F40="Inflow",LEFT($E40,LEN(Prefix_Outflow))=Prefix_Outflow),AND($F40="Outflow",LEFT($E40,LEN(Prefix_Inflow))=Prefix_Inflow)),"Yes","No")</f>
        <v>No</v>
      </c>
      <c r="P40" s="161" t="str" cm="1">
        <f t="array" ref="P40">IF(AND(COUNTIF(Suspect_Categories,$E40)&gt;0,SUMPRODUCT(--ISNUMBER(SEARCH(Suspect_Keywords,$I40&amp;" "&amp;$J40)))&gt;0),"Yes","No")</f>
        <v>No</v>
      </c>
      <c r="Q40" s="161" t="str">
        <f t="shared" si="0"/>
        <v>No</v>
      </c>
    </row>
    <row r="41" spans="1:17" x14ac:dyDescent="0.3">
      <c r="A41" s="11"/>
      <c r="B41" s="157" cm="1">
        <f t="array" ref="B41">INDEX(tbl_Ledger[Row ID],ROWS($B$27:$B41))</f>
        <v>15</v>
      </c>
      <c r="C41" s="158" cm="1">
        <f t="array" ref="C41">INDEX(tbl_Ledger[Date],ROWS($B$27:$B41))</f>
        <v>46040</v>
      </c>
      <c r="D41" s="157" t="str" cm="1">
        <f t="array" ref="D41">IF(INDEX(tbl_Ledger[Invoice Number],ROWS($B$27:$B41))="","",INDEX(tbl_Ledger[Invoice Number],ROWS($B$27:$B41)))</f>
        <v>NHL-2026-0008</v>
      </c>
      <c r="E41" s="157" t="str" cm="1">
        <f t="array" ref="E41">INDEX(tbl_Ledger[Tax Category],ROWS($B$27:$B41))</f>
        <v>OUT_STD</v>
      </c>
      <c r="F41" s="157" t="str" cm="1">
        <f t="array" ref="F41">INDEX(tbl_Ledger[Direction],ROWS($B$27:$B41))</f>
        <v>Inflow</v>
      </c>
      <c r="G41" s="159" cm="1">
        <f t="array" ref="G41">INDEX(tbl_Ledger[Tax Charged on Invoice],ROWS($B$27:$B41))</f>
        <v>16363.8</v>
      </c>
      <c r="H41" s="159" cm="1">
        <f t="array" ref="H41">INDEX(tbl_Ledger[Expected Total Tax],ROWS($B$27:$B41))</f>
        <v>16363.800000000001</v>
      </c>
      <c r="I41" s="159" t="str" cm="1">
        <f t="array" ref="I41">INDEX(tbl_Ledger[Description],ROWS($B$27:$B41))</f>
        <v>Bulk haulage of PMS, Tema-Bolgatanga, 8 trips</v>
      </c>
      <c r="J41" s="159" t="str" cm="1">
        <f t="array" ref="J41">INDEX(tbl_Ledger[Counterparty],ROWS($B$27:$B41))</f>
        <v>Sankofa Petroleum Depot Ltd</v>
      </c>
      <c r="K41" s="160" t="str">
        <f>IF(COUNTIF(Dup_Exclusions,$E41)&gt;0,"No","Yes")</f>
        <v>Yes</v>
      </c>
      <c r="L41" s="161" t="str">
        <f>IF(AND($D41="",COUNTIF(NoInv_Exempt,$E41)=0),"Yes","No")</f>
        <v>No</v>
      </c>
      <c r="M41" s="161" t="str" cm="1">
        <f t="array" ref="M41">IF(AND($D41&lt;&gt;"",$K41="Yes"),IF(SUMPRODUCT((tbl_Ledger[Invoice Number]=$D41)*(COUNTIF(Dup_Exclusions,tbl_Ledger[Tax Category])=0))&gt;1,"Yes","No"),"No")</f>
        <v>No</v>
      </c>
      <c r="N41" s="161" t="str">
        <f>IF(ABS($G41-$H41)&gt;Tax_Tolerance,"Yes","No")</f>
        <v>No</v>
      </c>
      <c r="O41" s="161" t="str">
        <f>IF(OR(AND($F41="Inflow",LEFT($E41,LEN(Prefix_Outflow))=Prefix_Outflow),AND($F41="Outflow",LEFT($E41,LEN(Prefix_Inflow))=Prefix_Inflow)),"Yes","No")</f>
        <v>No</v>
      </c>
      <c r="P41" s="161" t="str" cm="1">
        <f t="array" ref="P41">IF(AND(COUNTIF(Suspect_Categories,$E41)&gt;0,SUMPRODUCT(--ISNUMBER(SEARCH(Suspect_Keywords,$I41&amp;" "&amp;$J41)))&gt;0),"Yes","No")</f>
        <v>No</v>
      </c>
      <c r="Q41" s="161" t="str">
        <f t="shared" si="0"/>
        <v>No</v>
      </c>
    </row>
    <row r="42" spans="1:17" x14ac:dyDescent="0.3">
      <c r="A42" s="11"/>
      <c r="B42" s="157" cm="1">
        <f t="array" ref="B42">INDEX(tbl_Ledger[Row ID],ROWS($B$27:$B42))</f>
        <v>16</v>
      </c>
      <c r="C42" s="158" cm="1">
        <f t="array" ref="C42">INDEX(tbl_Ledger[Date],ROWS($B$27:$B42))</f>
        <v>46040</v>
      </c>
      <c r="D42" s="157" t="str" cm="1">
        <f t="array" ref="D42">IF(INDEX(tbl_Ledger[Invoice Number],ROWS($B$27:$B42))="","",INDEX(tbl_Ledger[Invoice Number],ROWS($B$27:$B42)))</f>
        <v>NHL-2026-0009</v>
      </c>
      <c r="E42" s="157" t="str" cm="1">
        <f t="array" ref="E42">INDEX(tbl_Ledger[Tax Category],ROWS($B$27:$B42))</f>
        <v>VAT_WHT</v>
      </c>
      <c r="F42" s="157" t="str" cm="1">
        <f t="array" ref="F42">INDEX(tbl_Ledger[Direction],ROWS($B$27:$B42))</f>
        <v>Inflow</v>
      </c>
      <c r="G42" s="159" cm="1">
        <f t="array" ref="G42">INDEX(tbl_Ledger[Tax Charged on Invoice],ROWS($B$27:$B42))</f>
        <v>22195.8</v>
      </c>
      <c r="H42" s="159" cm="1">
        <f t="array" ref="H42">INDEX(tbl_Ledger[Expected Total Tax],ROWS($B$27:$B42))</f>
        <v>22195.799999999996</v>
      </c>
      <c r="I42" s="159" t="str" cm="1">
        <f t="array" ref="I42">INDEX(tbl_Ledger[Description],ROWS($B$27:$B42))</f>
        <v>Term haulage contract, LPG, Tema-Kumasi; customer is an appointed VAT withholding agent and retained 7%</v>
      </c>
      <c r="J42" s="159" t="str" cm="1">
        <f t="array" ref="J42">INDEX(tbl_Ledger[Counterparty],ROWS($B$27:$B42))</f>
        <v>Northern Star BDC Ltd</v>
      </c>
      <c r="K42" s="160" t="str">
        <f>IF(COUNTIF(Dup_Exclusions,$E42)&gt;0,"No","Yes")</f>
        <v>No</v>
      </c>
      <c r="L42" s="161" t="str">
        <f>IF(AND($D42="",COUNTIF(NoInv_Exempt,$E42)=0),"Yes","No")</f>
        <v>No</v>
      </c>
      <c r="M42" s="161" t="str" cm="1">
        <f t="array" ref="M42">IF(AND($D42&lt;&gt;"",$K42="Yes"),IF(SUMPRODUCT((tbl_Ledger[Invoice Number]=$D42)*(COUNTIF(Dup_Exclusions,tbl_Ledger[Tax Category])=0))&gt;1,"Yes","No"),"No")</f>
        <v>No</v>
      </c>
      <c r="N42" s="161" t="str">
        <f>IF(ABS($G42-$H42)&gt;Tax_Tolerance,"Yes","No")</f>
        <v>No</v>
      </c>
      <c r="O42" s="161" t="str">
        <f>IF(OR(AND($F42="Inflow",LEFT($E42,LEN(Prefix_Outflow))=Prefix_Outflow),AND($F42="Outflow",LEFT($E42,LEN(Prefix_Inflow))=Prefix_Inflow)),"Yes","No")</f>
        <v>No</v>
      </c>
      <c r="P42" s="161" t="str" cm="1">
        <f t="array" ref="P42">IF(AND(COUNTIF(Suspect_Categories,$E42)&gt;0,SUMPRODUCT(--ISNUMBER(SEARCH(Suspect_Keywords,$I42&amp;" "&amp;$J42)))&gt;0),"Yes","No")</f>
        <v>No</v>
      </c>
      <c r="Q42" s="161" t="str">
        <f t="shared" si="0"/>
        <v>No</v>
      </c>
    </row>
    <row r="43" spans="1:17" x14ac:dyDescent="0.3">
      <c r="A43" s="11"/>
      <c r="B43" s="157" cm="1">
        <f t="array" ref="B43">INDEX(tbl_Ledger[Row ID],ROWS($B$27:$B43))</f>
        <v>17</v>
      </c>
      <c r="C43" s="158" cm="1">
        <f t="array" ref="C43">INDEX(tbl_Ledger[Date],ROWS($B$27:$B43))</f>
        <v>46041</v>
      </c>
      <c r="D43" s="157" t="str" cm="1">
        <f t="array" ref="D43">IF(INDEX(tbl_Ledger[Invoice Number],ROWS($B$27:$B43))="","",INDEX(tbl_Ledger[Invoice Number],ROWS($B$27:$B43)))</f>
        <v>SIN-2026-0006</v>
      </c>
      <c r="E43" s="157" t="str" cm="1">
        <f t="array" ref="E43">INDEX(tbl_Ledger[Tax Category],ROWS($B$27:$B43))</f>
        <v>IN_STD</v>
      </c>
      <c r="F43" s="157" t="str" cm="1">
        <f t="array" ref="F43">INDEX(tbl_Ledger[Direction],ROWS($B$27:$B43))</f>
        <v>Outflow</v>
      </c>
      <c r="G43" s="159" cm="1">
        <f t="array" ref="G43">INDEX(tbl_Ledger[Tax Charged on Invoice],ROWS($B$27:$B43))</f>
        <v>1690.4</v>
      </c>
      <c r="H43" s="159" cm="1">
        <f t="array" ref="H43">INDEX(tbl_Ledger[Expected Total Tax],ROWS($B$27:$B43))</f>
        <v>1690.3999999999999</v>
      </c>
      <c r="I43" s="159" t="str" cm="1">
        <f t="array" ref="I43">INDEX(tbl_Ledger[Description],ROWS($B$27:$B43))</f>
        <v>Fleet tracking software subscription</v>
      </c>
      <c r="J43" s="159" t="str" cm="1">
        <f t="array" ref="J43">INDEX(tbl_Ledger[Counterparty],ROWS($B$27:$B43))</f>
        <v>Bono Workshop Services Ltd</v>
      </c>
      <c r="K43" s="160" t="str">
        <f>IF(COUNTIF(Dup_Exclusions,$E43)&gt;0,"No","Yes")</f>
        <v>Yes</v>
      </c>
      <c r="L43" s="161" t="str">
        <f>IF(AND($D43="",COUNTIF(NoInv_Exempt,$E43)=0),"Yes","No")</f>
        <v>No</v>
      </c>
      <c r="M43" s="161" t="str" cm="1">
        <f t="array" ref="M43">IF(AND($D43&lt;&gt;"",$K43="Yes"),IF(SUMPRODUCT((tbl_Ledger[Invoice Number]=$D43)*(COUNTIF(Dup_Exclusions,tbl_Ledger[Tax Category])=0))&gt;1,"Yes","No"),"No")</f>
        <v>No</v>
      </c>
      <c r="N43" s="161" t="str">
        <f>IF(ABS($G43-$H43)&gt;Tax_Tolerance,"Yes","No")</f>
        <v>No</v>
      </c>
      <c r="O43" s="161" t="str">
        <f>IF(OR(AND($F43="Inflow",LEFT($E43,LEN(Prefix_Outflow))=Prefix_Outflow),AND($F43="Outflow",LEFT($E43,LEN(Prefix_Inflow))=Prefix_Inflow)),"Yes","No")</f>
        <v>No</v>
      </c>
      <c r="P43" s="161" t="str" cm="1">
        <f t="array" ref="P43">IF(AND(COUNTIF(Suspect_Categories,$E43)&gt;0,SUMPRODUCT(--ISNUMBER(SEARCH(Suspect_Keywords,$I43&amp;" "&amp;$J43)))&gt;0),"Yes","No")</f>
        <v>No</v>
      </c>
      <c r="Q43" s="161" t="str">
        <f t="shared" si="0"/>
        <v>No</v>
      </c>
    </row>
    <row r="44" spans="1:17" x14ac:dyDescent="0.3">
      <c r="A44" s="11"/>
      <c r="B44" s="157" cm="1">
        <f t="array" ref="B44">INDEX(tbl_Ledger[Row ID],ROWS($B$27:$B44))</f>
        <v>18</v>
      </c>
      <c r="C44" s="158" cm="1">
        <f t="array" ref="C44">INDEX(tbl_Ledger[Date],ROWS($B$27:$B44))</f>
        <v>46042</v>
      </c>
      <c r="D44" s="157" t="str" cm="1">
        <f t="array" ref="D44">IF(INDEX(tbl_Ledger[Invoice Number],ROWS($B$27:$B44))="","",INDEX(tbl_Ledger[Invoice Number],ROWS($B$27:$B44)))</f>
        <v>NHL-2026-0010</v>
      </c>
      <c r="E44" s="157" t="str" cm="1">
        <f t="array" ref="E44">INDEX(tbl_Ledger[Tax Category],ROWS($B$27:$B44))</f>
        <v>OUT_STD</v>
      </c>
      <c r="F44" s="157" t="str" cm="1">
        <f t="array" ref="F44">INDEX(tbl_Ledger[Direction],ROWS($B$27:$B44))</f>
        <v>Inflow</v>
      </c>
      <c r="G44" s="159" cm="1">
        <f t="array" ref="G44">INDEX(tbl_Ledger[Tax Charged on Invoice],ROWS($B$27:$B44))</f>
        <v>10096.799999999999</v>
      </c>
      <c r="H44" s="159" cm="1">
        <f t="array" ref="H44">INDEX(tbl_Ledger[Expected Total Tax],ROWS($B$27:$B44))</f>
        <v>10096.799999999999</v>
      </c>
      <c r="I44" s="159" t="str" cm="1">
        <f t="array" ref="I44">INDEX(tbl_Ledger[Description],ROWS($B$27:$B44))</f>
        <v>Bulk haulage of LPG, Tema-Bolgatanga, 6 trips</v>
      </c>
      <c r="J44" s="159" t="str" cm="1">
        <f t="array" ref="J44">INDEX(tbl_Ledger[Counterparty],ROWS($B$27:$B44))</f>
        <v>Obuasi Fuel Distributors Ltd</v>
      </c>
      <c r="K44" s="160" t="str">
        <f>IF(COUNTIF(Dup_Exclusions,$E44)&gt;0,"No","Yes")</f>
        <v>Yes</v>
      </c>
      <c r="L44" s="161" t="str">
        <f>IF(AND($D44="",COUNTIF(NoInv_Exempt,$E44)=0),"Yes","No")</f>
        <v>No</v>
      </c>
      <c r="M44" s="161" t="str" cm="1">
        <f t="array" ref="M44">IF(AND($D44&lt;&gt;"",$K44="Yes"),IF(SUMPRODUCT((tbl_Ledger[Invoice Number]=$D44)*(COUNTIF(Dup_Exclusions,tbl_Ledger[Tax Category])=0))&gt;1,"Yes","No"),"No")</f>
        <v>No</v>
      </c>
      <c r="N44" s="161" t="str">
        <f>IF(ABS($G44-$H44)&gt;Tax_Tolerance,"Yes","No")</f>
        <v>No</v>
      </c>
      <c r="O44" s="161" t="str">
        <f>IF(OR(AND($F44="Inflow",LEFT($E44,LEN(Prefix_Outflow))=Prefix_Outflow),AND($F44="Outflow",LEFT($E44,LEN(Prefix_Inflow))=Prefix_Inflow)),"Yes","No")</f>
        <v>No</v>
      </c>
      <c r="P44" s="161" t="str" cm="1">
        <f t="array" ref="P44">IF(AND(COUNTIF(Suspect_Categories,$E44)&gt;0,SUMPRODUCT(--ISNUMBER(SEARCH(Suspect_Keywords,$I44&amp;" "&amp;$J44)))&gt;0),"Yes","No")</f>
        <v>No</v>
      </c>
      <c r="Q44" s="161" t="str">
        <f t="shared" si="0"/>
        <v>No</v>
      </c>
    </row>
    <row r="45" spans="1:17" x14ac:dyDescent="0.3">
      <c r="A45" s="11"/>
      <c r="B45" s="157" cm="1">
        <f t="array" ref="B45">INDEX(tbl_Ledger[Row ID],ROWS($B$27:$B45))</f>
        <v>19</v>
      </c>
      <c r="C45" s="158" cm="1">
        <f t="array" ref="C45">INDEX(tbl_Ledger[Date],ROWS($B$27:$B45))</f>
        <v>46042</v>
      </c>
      <c r="D45" s="157" t="str" cm="1">
        <f t="array" ref="D45">IF(INDEX(tbl_Ledger[Invoice Number],ROWS($B$27:$B45))="","",INDEX(tbl_Ledger[Invoice Number],ROWS($B$27:$B45)))</f>
        <v>NHL-2026-0011</v>
      </c>
      <c r="E45" s="157" t="str" cm="1">
        <f t="array" ref="E45">INDEX(tbl_Ledger[Tax Category],ROWS($B$27:$B45))</f>
        <v>OUT_STD</v>
      </c>
      <c r="F45" s="157" t="str" cm="1">
        <f t="array" ref="F45">INDEX(tbl_Ledger[Direction],ROWS($B$27:$B45))</f>
        <v>Inflow</v>
      </c>
      <c r="G45" s="159" cm="1">
        <f t="array" ref="G45">INDEX(tbl_Ledger[Tax Charged on Invoice],ROWS($B$27:$B45))</f>
        <v>13706.4</v>
      </c>
      <c r="H45" s="159" cm="1">
        <f t="array" ref="H45">INDEX(tbl_Ledger[Expected Total Tax],ROWS($B$27:$B45))</f>
        <v>13706.399999999998</v>
      </c>
      <c r="I45" s="159" t="str" cm="1">
        <f t="array" ref="I45">INDEX(tbl_Ledger[Description],ROWS($B$27:$B45))</f>
        <v>Bulk haulage of ATK, Tema-Takoradi, 2 trips</v>
      </c>
      <c r="J45" s="159" t="str" cm="1">
        <f t="array" ref="J45">INDEX(tbl_Ledger[Counterparty],ROWS($B$27:$B45))</f>
        <v>Tema Bulk Energy Ltd</v>
      </c>
      <c r="K45" s="160" t="str">
        <f>IF(COUNTIF(Dup_Exclusions,$E45)&gt;0,"No","Yes")</f>
        <v>Yes</v>
      </c>
      <c r="L45" s="161" t="str">
        <f>IF(AND($D45="",COUNTIF(NoInv_Exempt,$E45)=0),"Yes","No")</f>
        <v>No</v>
      </c>
      <c r="M45" s="161" t="str" cm="1">
        <f t="array" ref="M45">IF(AND($D45&lt;&gt;"",$K45="Yes"),IF(SUMPRODUCT((tbl_Ledger[Invoice Number]=$D45)*(COUNTIF(Dup_Exclusions,tbl_Ledger[Tax Category])=0))&gt;1,"Yes","No"),"No")</f>
        <v>No</v>
      </c>
      <c r="N45" s="161" t="str">
        <f>IF(ABS($G45-$H45)&gt;Tax_Tolerance,"Yes","No")</f>
        <v>No</v>
      </c>
      <c r="O45" s="161" t="str">
        <f>IF(OR(AND($F45="Inflow",LEFT($E45,LEN(Prefix_Outflow))=Prefix_Outflow),AND($F45="Outflow",LEFT($E45,LEN(Prefix_Inflow))=Prefix_Inflow)),"Yes","No")</f>
        <v>No</v>
      </c>
      <c r="P45" s="161" t="str" cm="1">
        <f t="array" ref="P45">IF(AND(COUNTIF(Suspect_Categories,$E45)&gt;0,SUMPRODUCT(--ISNUMBER(SEARCH(Suspect_Keywords,$I45&amp;" "&amp;$J45)))&gt;0),"Yes","No")</f>
        <v>No</v>
      </c>
      <c r="Q45" s="161" t="str">
        <f t="shared" si="0"/>
        <v>No</v>
      </c>
    </row>
    <row r="46" spans="1:17" x14ac:dyDescent="0.3">
      <c r="A46" s="11"/>
      <c r="B46" s="157" cm="1">
        <f t="array" ref="B46">INDEX(tbl_Ledger[Row ID],ROWS($B$27:$B46))</f>
        <v>20</v>
      </c>
      <c r="C46" s="158" cm="1">
        <f t="array" ref="C46">INDEX(tbl_Ledger[Date],ROWS($B$27:$B46))</f>
        <v>46042</v>
      </c>
      <c r="D46" s="157" t="str" cm="1">
        <f t="array" ref="D46">IF(INDEX(tbl_Ledger[Invoice Number],ROWS($B$27:$B46))="","",INDEX(tbl_Ledger[Invoice Number],ROWS($B$27:$B46)))</f>
        <v>NHL-2026-0012</v>
      </c>
      <c r="E46" s="157" t="str" cm="1">
        <f t="array" ref="E46">INDEX(tbl_Ledger[Tax Category],ROWS($B$27:$B46))</f>
        <v>WHT_SVC</v>
      </c>
      <c r="F46" s="157" t="str" cm="1">
        <f t="array" ref="F46">INDEX(tbl_Ledger[Direction],ROWS($B$27:$B46))</f>
        <v>Inflow</v>
      </c>
      <c r="G46" s="159" cm="1">
        <f t="array" ref="G46">INDEX(tbl_Ledger[Tax Charged on Invoice],ROWS($B$27:$B46))</f>
        <v>15465.8</v>
      </c>
      <c r="H46" s="159" cm="1">
        <f t="array" ref="H46">INDEX(tbl_Ledger[Expected Total Tax],ROWS($B$27:$B46))</f>
        <v>15465.800000000001</v>
      </c>
      <c r="I46" s="159" t="str" cm="1">
        <f t="array" ref="I46">INDEX(tbl_Ledger[Description],ROWS($B$27:$B46))</f>
        <v>Contract haulage of AGO, Tema-Takoradi; customer withheld income tax at 7.5% on the service fee</v>
      </c>
      <c r="J46" s="159" t="str" cm="1">
        <f t="array" ref="J46">INDEX(tbl_Ledger[Counterparty],ROWS($B$27:$B46))</f>
        <v>Northern Star BDC Ltd</v>
      </c>
      <c r="K46" s="160" t="str">
        <f>IF(COUNTIF(Dup_Exclusions,$E46)&gt;0,"No","Yes")</f>
        <v>Yes</v>
      </c>
      <c r="L46" s="161" t="str">
        <f>IF(AND($D46="",COUNTIF(NoInv_Exempt,$E46)=0),"Yes","No")</f>
        <v>No</v>
      </c>
      <c r="M46" s="161" t="str" cm="1">
        <f t="array" ref="M46">IF(AND($D46&lt;&gt;"",$K46="Yes"),IF(SUMPRODUCT((tbl_Ledger[Invoice Number]=$D46)*(COUNTIF(Dup_Exclusions,tbl_Ledger[Tax Category])=0))&gt;1,"Yes","No"),"No")</f>
        <v>No</v>
      </c>
      <c r="N46" s="161" t="str">
        <f>IF(ABS($G46-$H46)&gt;Tax_Tolerance,"Yes","No")</f>
        <v>No</v>
      </c>
      <c r="O46" s="161" t="str">
        <f>IF(OR(AND($F46="Inflow",LEFT($E46,LEN(Prefix_Outflow))=Prefix_Outflow),AND($F46="Outflow",LEFT($E46,LEN(Prefix_Inflow))=Prefix_Inflow)),"Yes","No")</f>
        <v>No</v>
      </c>
      <c r="P46" s="161" t="str" cm="1">
        <f t="array" ref="P46">IF(AND(COUNTIF(Suspect_Categories,$E46)&gt;0,SUMPRODUCT(--ISNUMBER(SEARCH(Suspect_Keywords,$I46&amp;" "&amp;$J46)))&gt;0),"Yes","No")</f>
        <v>No</v>
      </c>
      <c r="Q46" s="161" t="str">
        <f t="shared" si="0"/>
        <v>No</v>
      </c>
    </row>
    <row r="47" spans="1:17" x14ac:dyDescent="0.3">
      <c r="A47" s="11"/>
      <c r="B47" s="157" cm="1">
        <f t="array" ref="B47">INDEX(tbl_Ledger[Row ID],ROWS($B$27:$B47))</f>
        <v>21</v>
      </c>
      <c r="C47" s="158" cm="1">
        <f t="array" ref="C47">INDEX(tbl_Ledger[Date],ROWS($B$27:$B47))</f>
        <v>46043</v>
      </c>
      <c r="D47" s="157" t="str" cm="1">
        <f t="array" ref="D47">IF(INDEX(tbl_Ledger[Invoice Number],ROWS($B$27:$B47))="","",INDEX(tbl_Ledger[Invoice Number],ROWS($B$27:$B47)))</f>
        <v>SIN-2026-0007</v>
      </c>
      <c r="E47" s="157" t="str" cm="1">
        <f t="array" ref="E47">INDEX(tbl_Ledger[Tax Category],ROWS($B$27:$B47))</f>
        <v>IN_EXEMPT</v>
      </c>
      <c r="F47" s="157" t="str" cm="1">
        <f t="array" ref="F47">INDEX(tbl_Ledger[Direction],ROWS($B$27:$B47))</f>
        <v>Outflow</v>
      </c>
      <c r="G47" s="159" cm="1">
        <f t="array" ref="G47">INDEX(tbl_Ledger[Tax Charged on Invoice],ROWS($B$27:$B47))</f>
        <v>0</v>
      </c>
      <c r="H47" s="159" cm="1">
        <f t="array" ref="H47">INDEX(tbl_Ledger[Expected Total Tax],ROWS($B$27:$B47))</f>
        <v>0</v>
      </c>
      <c r="I47" s="159" t="str" cm="1">
        <f t="array" ref="I47">INDEX(tbl_Ledger[Description],ROWS($B$27:$B47))</f>
        <v>Diesel (AGO) purchased for own fleet use, 25,971 litres</v>
      </c>
      <c r="J47" s="159" t="str" cm="1">
        <f t="array" ref="J47">INDEX(tbl_Ledger[Counterparty],ROWS($B$27:$B47))</f>
        <v>Zenith Fuel Depot Ltd</v>
      </c>
      <c r="K47" s="160" t="str">
        <f>IF(COUNTIF(Dup_Exclusions,$E47)&gt;0,"No","Yes")</f>
        <v>Yes</v>
      </c>
      <c r="L47" s="161" t="str">
        <f>IF(AND($D47="",COUNTIF(NoInv_Exempt,$E47)=0),"Yes","No")</f>
        <v>No</v>
      </c>
      <c r="M47" s="161" t="str" cm="1">
        <f t="array" ref="M47">IF(AND($D47&lt;&gt;"",$K47="Yes"),IF(SUMPRODUCT((tbl_Ledger[Invoice Number]=$D47)*(COUNTIF(Dup_Exclusions,tbl_Ledger[Tax Category])=0))&gt;1,"Yes","No"),"No")</f>
        <v>No</v>
      </c>
      <c r="N47" s="161" t="str">
        <f>IF(ABS($G47-$H47)&gt;Tax_Tolerance,"Yes","No")</f>
        <v>No</v>
      </c>
      <c r="O47" s="161" t="str">
        <f>IF(OR(AND($F47="Inflow",LEFT($E47,LEN(Prefix_Outflow))=Prefix_Outflow),AND($F47="Outflow",LEFT($E47,LEN(Prefix_Inflow))=Prefix_Inflow)),"Yes","No")</f>
        <v>No</v>
      </c>
      <c r="P47" s="161" t="str" cm="1">
        <f t="array" ref="P47">IF(AND(COUNTIF(Suspect_Categories,$E47)&gt;0,SUMPRODUCT(--ISNUMBER(SEARCH(Suspect_Keywords,$I47&amp;" "&amp;$J47)))&gt;0),"Yes","No")</f>
        <v>No</v>
      </c>
      <c r="Q47" s="161" t="str">
        <f t="shared" si="0"/>
        <v>No</v>
      </c>
    </row>
    <row r="48" spans="1:17" x14ac:dyDescent="0.3">
      <c r="A48" s="11"/>
      <c r="B48" s="157" cm="1">
        <f t="array" ref="B48">INDEX(tbl_Ledger[Row ID],ROWS($B$27:$B48))</f>
        <v>22</v>
      </c>
      <c r="C48" s="158" cm="1">
        <f t="array" ref="C48">INDEX(tbl_Ledger[Date],ROWS($B$27:$B48))</f>
        <v>46043</v>
      </c>
      <c r="D48" s="157" t="str" cm="1">
        <f t="array" ref="D48">IF(INDEX(tbl_Ledger[Invoice Number],ROWS($B$27:$B48))="","",INDEX(tbl_Ledger[Invoice Number],ROWS($B$27:$B48)))</f>
        <v>NHL-2026-0013</v>
      </c>
      <c r="E48" s="157" t="str" cm="1">
        <f t="array" ref="E48">INDEX(tbl_Ledger[Tax Category],ROWS($B$27:$B48))</f>
        <v>OUT_STD</v>
      </c>
      <c r="F48" s="157" t="str" cm="1">
        <f t="array" ref="F48">INDEX(tbl_Ledger[Direction],ROWS($B$27:$B48))</f>
        <v>Inflow</v>
      </c>
      <c r="G48" s="159" cm="1">
        <f t="array" ref="G48">INDEX(tbl_Ledger[Tax Charged on Invoice],ROWS($B$27:$B48))</f>
        <v>6738.8</v>
      </c>
      <c r="H48" s="159" cm="1">
        <f t="array" ref="H48">INDEX(tbl_Ledger[Expected Total Tax],ROWS($B$27:$B48))</f>
        <v>6738.8</v>
      </c>
      <c r="I48" s="159" t="str" cm="1">
        <f t="array" ref="I48">INDEX(tbl_Ledger[Description],ROWS($B$27:$B48))</f>
        <v>Bulk haulage of AGO, Tema-Takoradi, 8 trips</v>
      </c>
      <c r="J48" s="159" t="str" cm="1">
        <f t="array" ref="J48">INDEX(tbl_Ledger[Counterparty],ROWS($B$27:$B48))</f>
        <v>Golden Harmattan Energy Ltd</v>
      </c>
      <c r="K48" s="160" t="str">
        <f>IF(COUNTIF(Dup_Exclusions,$E48)&gt;0,"No","Yes")</f>
        <v>Yes</v>
      </c>
      <c r="L48" s="161" t="str">
        <f>IF(AND($D48="",COUNTIF(NoInv_Exempt,$E48)=0),"Yes","No")</f>
        <v>No</v>
      </c>
      <c r="M48" s="161" t="str" cm="1">
        <f t="array" ref="M48">IF(AND($D48&lt;&gt;"",$K48="Yes"),IF(SUMPRODUCT((tbl_Ledger[Invoice Number]=$D48)*(COUNTIF(Dup_Exclusions,tbl_Ledger[Tax Category])=0))&gt;1,"Yes","No"),"No")</f>
        <v>No</v>
      </c>
      <c r="N48" s="161" t="str">
        <f>IF(ABS($G48-$H48)&gt;Tax_Tolerance,"Yes","No")</f>
        <v>No</v>
      </c>
      <c r="O48" s="161" t="str">
        <f>IF(OR(AND($F48="Inflow",LEFT($E48,LEN(Prefix_Outflow))=Prefix_Outflow),AND($F48="Outflow",LEFT($E48,LEN(Prefix_Inflow))=Prefix_Inflow)),"Yes","No")</f>
        <v>No</v>
      </c>
      <c r="P48" s="161" t="str" cm="1">
        <f t="array" ref="P48">IF(AND(COUNTIF(Suspect_Categories,$E48)&gt;0,SUMPRODUCT(--ISNUMBER(SEARCH(Suspect_Keywords,$I48&amp;" "&amp;$J48)))&gt;0),"Yes","No")</f>
        <v>No</v>
      </c>
      <c r="Q48" s="161" t="str">
        <f t="shared" si="0"/>
        <v>No</v>
      </c>
    </row>
    <row r="49" spans="1:17" x14ac:dyDescent="0.3">
      <c r="A49" s="11"/>
      <c r="B49" s="157" cm="1">
        <f t="array" ref="B49">INDEX(tbl_Ledger[Row ID],ROWS($B$27:$B49))</f>
        <v>23</v>
      </c>
      <c r="C49" s="158" cm="1">
        <f t="array" ref="C49">INDEX(tbl_Ledger[Date],ROWS($B$27:$B49))</f>
        <v>46043</v>
      </c>
      <c r="D49" s="157" t="str" cm="1">
        <f t="array" ref="D49">IF(INDEX(tbl_Ledger[Invoice Number],ROWS($B$27:$B49))="","",INDEX(tbl_Ledger[Invoice Number],ROWS($B$27:$B49)))</f>
        <v>NHL-2026-0014</v>
      </c>
      <c r="E49" s="157" t="str" cm="1">
        <f t="array" ref="E49">INDEX(tbl_Ledger[Tax Category],ROWS($B$27:$B49))</f>
        <v>OUT_STD</v>
      </c>
      <c r="F49" s="157" t="str" cm="1">
        <f t="array" ref="F49">INDEX(tbl_Ledger[Direction],ROWS($B$27:$B49))</f>
        <v>Inflow</v>
      </c>
      <c r="G49" s="159" cm="1">
        <f t="array" ref="G49">INDEX(tbl_Ledger[Tax Charged on Invoice],ROWS($B$27:$B49))</f>
        <v>16652.400000000001</v>
      </c>
      <c r="H49" s="159" cm="1">
        <f t="array" ref="H49">INDEX(tbl_Ledger[Expected Total Tax],ROWS($B$27:$B49))</f>
        <v>16652.399999999998</v>
      </c>
      <c r="I49" s="159" t="str" cm="1">
        <f t="array" ref="I49">INDEX(tbl_Ledger[Description],ROWS($B$27:$B49))</f>
        <v>Bulk haulage of PMS, Tema-Cape Coast, 3 trips</v>
      </c>
      <c r="J49" s="159" t="str" cm="1">
        <f t="array" ref="J49">INDEX(tbl_Ledger[Counterparty],ROWS($B$27:$B49))</f>
        <v>Tema Bulk Energy Ltd</v>
      </c>
      <c r="K49" s="160" t="str">
        <f>IF(COUNTIF(Dup_Exclusions,$E49)&gt;0,"No","Yes")</f>
        <v>Yes</v>
      </c>
      <c r="L49" s="161" t="str">
        <f>IF(AND($D49="",COUNTIF(NoInv_Exempt,$E49)=0),"Yes","No")</f>
        <v>No</v>
      </c>
      <c r="M49" s="161" t="str" cm="1">
        <f t="array" ref="M49">IF(AND($D49&lt;&gt;"",$K49="Yes"),IF(SUMPRODUCT((tbl_Ledger[Invoice Number]=$D49)*(COUNTIF(Dup_Exclusions,tbl_Ledger[Tax Category])=0))&gt;1,"Yes","No"),"No")</f>
        <v>No</v>
      </c>
      <c r="N49" s="161" t="str">
        <f>IF(ABS($G49-$H49)&gt;Tax_Tolerance,"Yes","No")</f>
        <v>No</v>
      </c>
      <c r="O49" s="161" t="str">
        <f>IF(OR(AND($F49="Inflow",LEFT($E49,LEN(Prefix_Outflow))=Prefix_Outflow),AND($F49="Outflow",LEFT($E49,LEN(Prefix_Inflow))=Prefix_Inflow)),"Yes","No")</f>
        <v>No</v>
      </c>
      <c r="P49" s="161" t="str" cm="1">
        <f t="array" ref="P49">IF(AND(COUNTIF(Suspect_Categories,$E49)&gt;0,SUMPRODUCT(--ISNUMBER(SEARCH(Suspect_Keywords,$I49&amp;" "&amp;$J49)))&gt;0),"Yes","No")</f>
        <v>No</v>
      </c>
      <c r="Q49" s="161" t="str">
        <f t="shared" si="0"/>
        <v>No</v>
      </c>
    </row>
    <row r="50" spans="1:17" x14ac:dyDescent="0.3">
      <c r="A50" s="11"/>
      <c r="B50" s="157" cm="1">
        <f t="array" ref="B50">INDEX(tbl_Ledger[Row ID],ROWS($B$27:$B50))</f>
        <v>24</v>
      </c>
      <c r="C50" s="158" cm="1">
        <f t="array" ref="C50">INDEX(tbl_Ledger[Date],ROWS($B$27:$B50))</f>
        <v>46044</v>
      </c>
      <c r="D50" s="157" t="str" cm="1">
        <f t="array" ref="D50">IF(INDEX(tbl_Ledger[Invoice Number],ROWS($B$27:$B50))="","",INDEX(tbl_Ledger[Invoice Number],ROWS($B$27:$B50)))</f>
        <v>SIN-2026-0008</v>
      </c>
      <c r="E50" s="157" t="str" cm="1">
        <f t="array" ref="E50">INDEX(tbl_Ledger[Tax Category],ROWS($B$27:$B50))</f>
        <v>IN_NONDED</v>
      </c>
      <c r="F50" s="157" t="str" cm="1">
        <f t="array" ref="F50">INDEX(tbl_Ledger[Direction],ROWS($B$27:$B50))</f>
        <v>Outflow</v>
      </c>
      <c r="G50" s="159" cm="1">
        <f t="array" ref="G50">INDEX(tbl_Ledger[Tax Charged on Invoice],ROWS($B$27:$B50))</f>
        <v>376.4</v>
      </c>
      <c r="H50" s="159" cm="1">
        <f t="array" ref="H50">INDEX(tbl_Ledger[Expected Total Tax],ROWS($B$27:$B50))</f>
        <v>376.40000000000003</v>
      </c>
      <c r="I50" s="159" t="str" cm="1">
        <f t="array" ref="I50">INDEX(tbl_Ledger[Description],ROWS($B$27:$B50))</f>
        <v>Client entertainment - business development</v>
      </c>
      <c r="J50" s="159" t="str" cm="1">
        <f t="array" ref="J50">INDEX(tbl_Ledger[Counterparty],ROWS($B$27:$B50))</f>
        <v>Sunset Lounge Ltd</v>
      </c>
      <c r="K50" s="160" t="str">
        <f>IF(COUNTIF(Dup_Exclusions,$E50)&gt;0,"No","Yes")</f>
        <v>Yes</v>
      </c>
      <c r="L50" s="161" t="str">
        <f>IF(AND($D50="",COUNTIF(NoInv_Exempt,$E50)=0),"Yes","No")</f>
        <v>No</v>
      </c>
      <c r="M50" s="161" t="str" cm="1">
        <f t="array" ref="M50">IF(AND($D50&lt;&gt;"",$K50="Yes"),IF(SUMPRODUCT((tbl_Ledger[Invoice Number]=$D50)*(COUNTIF(Dup_Exclusions,tbl_Ledger[Tax Category])=0))&gt;1,"Yes","No"),"No")</f>
        <v>No</v>
      </c>
      <c r="N50" s="161" t="str">
        <f>IF(ABS($G50-$H50)&gt;Tax_Tolerance,"Yes","No")</f>
        <v>No</v>
      </c>
      <c r="O50" s="161" t="str">
        <f>IF(OR(AND($F50="Inflow",LEFT($E50,LEN(Prefix_Outflow))=Prefix_Outflow),AND($F50="Outflow",LEFT($E50,LEN(Prefix_Inflow))=Prefix_Inflow)),"Yes","No")</f>
        <v>No</v>
      </c>
      <c r="P50" s="161" t="str" cm="1">
        <f t="array" ref="P50">IF(AND(COUNTIF(Suspect_Categories,$E50)&gt;0,SUMPRODUCT(--ISNUMBER(SEARCH(Suspect_Keywords,$I50&amp;" "&amp;$J50)))&gt;0),"Yes","No")</f>
        <v>No</v>
      </c>
      <c r="Q50" s="161" t="str">
        <f t="shared" si="0"/>
        <v>No</v>
      </c>
    </row>
    <row r="51" spans="1:17" x14ac:dyDescent="0.3">
      <c r="A51" s="11"/>
      <c r="B51" s="157" cm="1">
        <f t="array" ref="B51">INDEX(tbl_Ledger[Row ID],ROWS($B$27:$B51))</f>
        <v>25</v>
      </c>
      <c r="C51" s="158" cm="1">
        <f t="array" ref="C51">INDEX(tbl_Ledger[Date],ROWS($B$27:$B51))</f>
        <v>46044</v>
      </c>
      <c r="D51" s="157" t="str" cm="1">
        <f t="array" ref="D51">IF(INDEX(tbl_Ledger[Invoice Number],ROWS($B$27:$B51))="","",INDEX(tbl_Ledger[Invoice Number],ROWS($B$27:$B51)))</f>
        <v>SIN-2026-0009</v>
      </c>
      <c r="E51" s="157" t="str" cm="1">
        <f t="array" ref="E51">INDEX(tbl_Ledger[Tax Category],ROWS($B$27:$B51))</f>
        <v>IN_STD</v>
      </c>
      <c r="F51" s="157" t="str" cm="1">
        <f t="array" ref="F51">INDEX(tbl_Ledger[Direction],ROWS($B$27:$B51))</f>
        <v>Outflow</v>
      </c>
      <c r="G51" s="159" cm="1">
        <f t="array" ref="G51">INDEX(tbl_Ledger[Tax Charged on Invoice],ROWS($B$27:$B51))</f>
        <v>1778.6</v>
      </c>
      <c r="H51" s="159" cm="1">
        <f t="array" ref="H51">INDEX(tbl_Ledger[Expected Total Tax],ROWS($B$27:$B51))</f>
        <v>1778.6000000000001</v>
      </c>
      <c r="I51" s="159" t="str" cm="1">
        <f t="array" ref="I51">INDEX(tbl_Ledger[Description],ROWS($B$27:$B51))</f>
        <v>Workshop consumables and lubricants</v>
      </c>
      <c r="J51" s="159" t="str" cm="1">
        <f t="array" ref="J51">INDEX(tbl_Ledger[Counterparty],ROWS($B$27:$B51))</f>
        <v>Bono Workshop Services Ltd</v>
      </c>
      <c r="K51" s="160" t="str">
        <f>IF(COUNTIF(Dup_Exclusions,$E51)&gt;0,"No","Yes")</f>
        <v>Yes</v>
      </c>
      <c r="L51" s="161" t="str">
        <f>IF(AND($D51="",COUNTIF(NoInv_Exempt,$E51)=0),"Yes","No")</f>
        <v>No</v>
      </c>
      <c r="M51" s="161" t="str" cm="1">
        <f t="array" ref="M51">IF(AND($D51&lt;&gt;"",$K51="Yes"),IF(SUMPRODUCT((tbl_Ledger[Invoice Number]=$D51)*(COUNTIF(Dup_Exclusions,tbl_Ledger[Tax Category])=0))&gt;1,"Yes","No"),"No")</f>
        <v>No</v>
      </c>
      <c r="N51" s="161" t="str">
        <f>IF(ABS($G51-$H51)&gt;Tax_Tolerance,"Yes","No")</f>
        <v>No</v>
      </c>
      <c r="O51" s="161" t="str">
        <f>IF(OR(AND($F51="Inflow",LEFT($E51,LEN(Prefix_Outflow))=Prefix_Outflow),AND($F51="Outflow",LEFT($E51,LEN(Prefix_Inflow))=Prefix_Inflow)),"Yes","No")</f>
        <v>No</v>
      </c>
      <c r="P51" s="161" t="str" cm="1">
        <f t="array" ref="P51">IF(AND(COUNTIF(Suspect_Categories,$E51)&gt;0,SUMPRODUCT(--ISNUMBER(SEARCH(Suspect_Keywords,$I51&amp;" "&amp;$J51)))&gt;0),"Yes","No")</f>
        <v>No</v>
      </c>
      <c r="Q51" s="161" t="str">
        <f t="shared" si="0"/>
        <v>No</v>
      </c>
    </row>
    <row r="52" spans="1:17" x14ac:dyDescent="0.3">
      <c r="A52" s="11"/>
      <c r="B52" s="157" cm="1">
        <f t="array" ref="B52">INDEX(tbl_Ledger[Row ID],ROWS($B$27:$B52))</f>
        <v>26</v>
      </c>
      <c r="C52" s="158" cm="1">
        <f t="array" ref="C52">INDEX(tbl_Ledger[Date],ROWS($B$27:$B52))</f>
        <v>46044</v>
      </c>
      <c r="D52" s="157" t="str" cm="1">
        <f t="array" ref="D52">IF(INDEX(tbl_Ledger[Invoice Number],ROWS($B$27:$B52))="","",INDEX(tbl_Ledger[Invoice Number],ROWS($B$27:$B52)))</f>
        <v>SIN-2026-0010</v>
      </c>
      <c r="E52" s="157" t="str" cm="1">
        <f t="array" ref="E52">INDEX(tbl_Ledger[Tax Category],ROWS($B$27:$B52))</f>
        <v>IN_STD</v>
      </c>
      <c r="F52" s="157" t="str" cm="1">
        <f t="array" ref="F52">INDEX(tbl_Ledger[Direction],ROWS($B$27:$B52))</f>
        <v>Outflow</v>
      </c>
      <c r="G52" s="159" cm="1">
        <f t="array" ref="G52">INDEX(tbl_Ledger[Tax Charged on Invoice],ROWS($B$27:$B52))</f>
        <v>212.4</v>
      </c>
      <c r="H52" s="159" cm="1">
        <f t="array" ref="H52">INDEX(tbl_Ledger[Expected Total Tax],ROWS($B$27:$B52))</f>
        <v>212.4</v>
      </c>
      <c r="I52" s="159" t="str" cm="1">
        <f t="array" ref="I52">INDEX(tbl_Ledger[Description],ROWS($B$27:$B52))</f>
        <v>Mobile and data services</v>
      </c>
      <c r="J52" s="159" t="str" cm="1">
        <f t="array" ref="J52">INDEX(tbl_Ledger[Counterparty],ROWS($B$27:$B52))</f>
        <v>Bono Workshop Services Ltd</v>
      </c>
      <c r="K52" s="160" t="str">
        <f>IF(COUNTIF(Dup_Exclusions,$E52)&gt;0,"No","Yes")</f>
        <v>Yes</v>
      </c>
      <c r="L52" s="161" t="str">
        <f>IF(AND($D52="",COUNTIF(NoInv_Exempt,$E52)=0),"Yes","No")</f>
        <v>No</v>
      </c>
      <c r="M52" s="161" t="str" cm="1">
        <f t="array" ref="M52">IF(AND($D52&lt;&gt;"",$K52="Yes"),IF(SUMPRODUCT((tbl_Ledger[Invoice Number]=$D52)*(COUNTIF(Dup_Exclusions,tbl_Ledger[Tax Category])=0))&gt;1,"Yes","No"),"No")</f>
        <v>No</v>
      </c>
      <c r="N52" s="161" t="str">
        <f>IF(ABS($G52-$H52)&gt;Tax_Tolerance,"Yes","No")</f>
        <v>No</v>
      </c>
      <c r="O52" s="161" t="str">
        <f>IF(OR(AND($F52="Inflow",LEFT($E52,LEN(Prefix_Outflow))=Prefix_Outflow),AND($F52="Outflow",LEFT($E52,LEN(Prefix_Inflow))=Prefix_Inflow)),"Yes","No")</f>
        <v>No</v>
      </c>
      <c r="P52" s="161" t="str" cm="1">
        <f t="array" ref="P52">IF(AND(COUNTIF(Suspect_Categories,$E52)&gt;0,SUMPRODUCT(--ISNUMBER(SEARCH(Suspect_Keywords,$I52&amp;" "&amp;$J52)))&gt;0),"Yes","No")</f>
        <v>No</v>
      </c>
      <c r="Q52" s="161" t="str">
        <f t="shared" si="0"/>
        <v>No</v>
      </c>
    </row>
    <row r="53" spans="1:17" x14ac:dyDescent="0.3">
      <c r="A53" s="11"/>
      <c r="B53" s="157" cm="1">
        <f t="array" ref="B53">INDEX(tbl_Ledger[Row ID],ROWS($B$27:$B53))</f>
        <v>27</v>
      </c>
      <c r="C53" s="158" cm="1">
        <f t="array" ref="C53">INDEX(tbl_Ledger[Date],ROWS($B$27:$B53))</f>
        <v>46044</v>
      </c>
      <c r="D53" s="157" t="str" cm="1">
        <f t="array" ref="D53">IF(INDEX(tbl_Ledger[Invoice Number],ROWS($B$27:$B53))="","",INDEX(tbl_Ledger[Invoice Number],ROWS($B$27:$B53)))</f>
        <v>NHL-2026-0015</v>
      </c>
      <c r="E53" s="157" t="str" cm="1">
        <f t="array" ref="E53">INDEX(tbl_Ledger[Tax Category],ROWS($B$27:$B53))</f>
        <v>WHT_SVC</v>
      </c>
      <c r="F53" s="157" t="str" cm="1">
        <f t="array" ref="F53">INDEX(tbl_Ledger[Direction],ROWS($B$27:$B53))</f>
        <v>Inflow</v>
      </c>
      <c r="G53" s="159" cm="1">
        <f t="array" ref="G53">INDEX(tbl_Ledger[Tax Charged on Invoice],ROWS($B$27:$B53))</f>
        <v>13433.2</v>
      </c>
      <c r="H53" s="159" cm="1">
        <f t="array" ref="H53">INDEX(tbl_Ledger[Expected Total Tax],ROWS($B$27:$B53))</f>
        <v>13433.199999999999</v>
      </c>
      <c r="I53" s="159" t="str" cm="1">
        <f t="array" ref="I53">INDEX(tbl_Ledger[Description],ROWS($B$27:$B53))</f>
        <v>Contract haulage of ATK, Takoradi-Tamale; customer withheld income tax at 7.5% on the service fee</v>
      </c>
      <c r="J53" s="159" t="str" cm="1">
        <f t="array" ref="J53">INDEX(tbl_Ledger[Counterparty],ROWS($B$27:$B53))</f>
        <v>Adinkra Oil Marketing Ltd</v>
      </c>
      <c r="K53" s="160" t="str">
        <f>IF(COUNTIF(Dup_Exclusions,$E53)&gt;0,"No","Yes")</f>
        <v>Yes</v>
      </c>
      <c r="L53" s="161" t="str">
        <f>IF(AND($D53="",COUNTIF(NoInv_Exempt,$E53)=0),"Yes","No")</f>
        <v>No</v>
      </c>
      <c r="M53" s="161" t="str" cm="1">
        <f t="array" ref="M53">IF(AND($D53&lt;&gt;"",$K53="Yes"),IF(SUMPRODUCT((tbl_Ledger[Invoice Number]=$D53)*(COUNTIF(Dup_Exclusions,tbl_Ledger[Tax Category])=0))&gt;1,"Yes","No"),"No")</f>
        <v>No</v>
      </c>
      <c r="N53" s="161" t="str">
        <f>IF(ABS($G53-$H53)&gt;Tax_Tolerance,"Yes","No")</f>
        <v>No</v>
      </c>
      <c r="O53" s="161" t="str">
        <f>IF(OR(AND($F53="Inflow",LEFT($E53,LEN(Prefix_Outflow))=Prefix_Outflow),AND($F53="Outflow",LEFT($E53,LEN(Prefix_Inflow))=Prefix_Inflow)),"Yes","No")</f>
        <v>No</v>
      </c>
      <c r="P53" s="161" t="str" cm="1">
        <f t="array" ref="P53">IF(AND(COUNTIF(Suspect_Categories,$E53)&gt;0,SUMPRODUCT(--ISNUMBER(SEARCH(Suspect_Keywords,$I53&amp;" "&amp;$J53)))&gt;0),"Yes","No")</f>
        <v>No</v>
      </c>
      <c r="Q53" s="161" t="str">
        <f t="shared" si="0"/>
        <v>No</v>
      </c>
    </row>
    <row r="54" spans="1:17" x14ac:dyDescent="0.3">
      <c r="A54" s="11"/>
      <c r="B54" s="157" cm="1">
        <f t="array" ref="B54">INDEX(tbl_Ledger[Row ID],ROWS($B$27:$B54))</f>
        <v>28</v>
      </c>
      <c r="C54" s="158" cm="1">
        <f t="array" ref="C54">INDEX(tbl_Ledger[Date],ROWS($B$27:$B54))</f>
        <v>46045</v>
      </c>
      <c r="D54" s="157" t="str" cm="1">
        <f t="array" ref="D54">IF(INDEX(tbl_Ledger[Invoice Number],ROWS($B$27:$B54))="","",INDEX(tbl_Ledger[Invoice Number],ROWS($B$27:$B54)))</f>
        <v>GRA-2026-0002</v>
      </c>
      <c r="E54" s="157" t="str" cm="1">
        <f t="array" ref="E54">INDEX(tbl_Ledger[Tax Category],ROWS($B$27:$B54))</f>
        <v>NO_VAT</v>
      </c>
      <c r="F54" s="157" t="str" cm="1">
        <f t="array" ref="F54">INDEX(tbl_Ledger[Direction],ROWS($B$27:$B54))</f>
        <v>Outflow</v>
      </c>
      <c r="G54" s="159" cm="1">
        <f t="array" ref="G54">INDEX(tbl_Ledger[Tax Charged on Invoice],ROWS($B$27:$B54))</f>
        <v>0</v>
      </c>
      <c r="H54" s="159" cm="1">
        <f t="array" ref="H54">INDEX(tbl_Ledger[Expected Total Tax],ROWS($B$27:$B54))</f>
        <v>0</v>
      </c>
      <c r="I54" s="159" t="str" cm="1">
        <f t="array" ref="I54">INDEX(tbl_Ledger[Description],ROWS($B$27:$B54))</f>
        <v>VAT and levies remitted to GRA for January period</v>
      </c>
      <c r="J54" s="159" t="str" cm="1">
        <f t="array" ref="J54">INDEX(tbl_Ledger[Counterparty],ROWS($B$27:$B54))</f>
        <v>Ghana Revenue Authority</v>
      </c>
      <c r="K54" s="160" t="str">
        <f>IF(COUNTIF(Dup_Exclusions,$E54)&gt;0,"No","Yes")</f>
        <v>Yes</v>
      </c>
      <c r="L54" s="161" t="str">
        <f>IF(AND($D54="",COUNTIF(NoInv_Exempt,$E54)=0),"Yes","No")</f>
        <v>No</v>
      </c>
      <c r="M54" s="161" t="str" cm="1">
        <f t="array" ref="M54">IF(AND($D54&lt;&gt;"",$K54="Yes"),IF(SUMPRODUCT((tbl_Ledger[Invoice Number]=$D54)*(COUNTIF(Dup_Exclusions,tbl_Ledger[Tax Category])=0))&gt;1,"Yes","No"),"No")</f>
        <v>No</v>
      </c>
      <c r="N54" s="161" t="str">
        <f>IF(ABS($G54-$H54)&gt;Tax_Tolerance,"Yes","No")</f>
        <v>No</v>
      </c>
      <c r="O54" s="161" t="str">
        <f>IF(OR(AND($F54="Inflow",LEFT($E54,LEN(Prefix_Outflow))=Prefix_Outflow),AND($F54="Outflow",LEFT($E54,LEN(Prefix_Inflow))=Prefix_Inflow)),"Yes","No")</f>
        <v>No</v>
      </c>
      <c r="P54" s="161" t="str" cm="1">
        <f t="array" ref="P54">IF(AND(COUNTIF(Suspect_Categories,$E54)&gt;0,SUMPRODUCT(--ISNUMBER(SEARCH(Suspect_Keywords,$I54&amp;" "&amp;$J54)))&gt;0),"Yes","No")</f>
        <v>No</v>
      </c>
      <c r="Q54" s="161" t="str">
        <f t="shared" si="0"/>
        <v>No</v>
      </c>
    </row>
    <row r="55" spans="1:17" x14ac:dyDescent="0.3">
      <c r="A55" s="11"/>
      <c r="B55" s="157" cm="1">
        <f t="array" ref="B55">INDEX(tbl_Ledger[Row ID],ROWS($B$27:$B55))</f>
        <v>29</v>
      </c>
      <c r="C55" s="158" cm="1">
        <f t="array" ref="C55">INDEX(tbl_Ledger[Date],ROWS($B$27:$B55))</f>
        <v>46046</v>
      </c>
      <c r="D55" s="157" t="str" cm="1">
        <f t="array" ref="D55">IF(INDEX(tbl_Ledger[Invoice Number],ROWS($B$27:$B55))="","",INDEX(tbl_Ledger[Invoice Number],ROWS($B$27:$B55)))</f>
        <v>BNK-2026-0001</v>
      </c>
      <c r="E55" s="157" t="str" cm="1">
        <f t="array" ref="E55">INDEX(tbl_Ledger[Tax Category],ROWS($B$27:$B55))</f>
        <v>IN_EXEMPT</v>
      </c>
      <c r="F55" s="157" t="str" cm="1">
        <f t="array" ref="F55">INDEX(tbl_Ledger[Direction],ROWS($B$27:$B55))</f>
        <v>Outflow</v>
      </c>
      <c r="G55" s="159" cm="1">
        <f t="array" ref="G55">INDEX(tbl_Ledger[Tax Charged on Invoice],ROWS($B$27:$B55))</f>
        <v>0</v>
      </c>
      <c r="H55" s="159" cm="1">
        <f t="array" ref="H55">INDEX(tbl_Ledger[Expected Total Tax],ROWS($B$27:$B55))</f>
        <v>0</v>
      </c>
      <c r="I55" s="159" t="str" cm="1">
        <f t="array" ref="I55">INDEX(tbl_Ledger[Description],ROWS($B$27:$B55))</f>
        <v>Transfer and settlement charges</v>
      </c>
      <c r="J55" s="159" t="str" cm="1">
        <f t="array" ref="J55">INDEX(tbl_Ledger[Counterparty],ROWS($B$27:$B55))</f>
        <v>Trust Union Bank Ltd</v>
      </c>
      <c r="K55" s="160" t="str">
        <f>IF(COUNTIF(Dup_Exclusions,$E55)&gt;0,"No","Yes")</f>
        <v>Yes</v>
      </c>
      <c r="L55" s="161" t="str">
        <f>IF(AND($D55="",COUNTIF(NoInv_Exempt,$E55)=0),"Yes","No")</f>
        <v>No</v>
      </c>
      <c r="M55" s="161" t="str" cm="1">
        <f t="array" ref="M55">IF(AND($D55&lt;&gt;"",$K55="Yes"),IF(SUMPRODUCT((tbl_Ledger[Invoice Number]=$D55)*(COUNTIF(Dup_Exclusions,tbl_Ledger[Tax Category])=0))&gt;1,"Yes","No"),"No")</f>
        <v>No</v>
      </c>
      <c r="N55" s="161" t="str">
        <f>IF(ABS($G55-$H55)&gt;Tax_Tolerance,"Yes","No")</f>
        <v>No</v>
      </c>
      <c r="O55" s="161" t="str">
        <f>IF(OR(AND($F55="Inflow",LEFT($E55,LEN(Prefix_Outflow))=Prefix_Outflow),AND($F55="Outflow",LEFT($E55,LEN(Prefix_Inflow))=Prefix_Inflow)),"Yes","No")</f>
        <v>No</v>
      </c>
      <c r="P55" s="161" t="str" cm="1">
        <f t="array" ref="P55">IF(AND(COUNTIF(Suspect_Categories,$E55)&gt;0,SUMPRODUCT(--ISNUMBER(SEARCH(Suspect_Keywords,$I55&amp;" "&amp;$J55)))&gt;0),"Yes","No")</f>
        <v>No</v>
      </c>
      <c r="Q55" s="161" t="str">
        <f t="shared" si="0"/>
        <v>No</v>
      </c>
    </row>
    <row r="56" spans="1:17" x14ac:dyDescent="0.3">
      <c r="A56" s="11"/>
      <c r="B56" s="157" cm="1">
        <f t="array" ref="B56">INDEX(tbl_Ledger[Row ID],ROWS($B$27:$B56))</f>
        <v>30</v>
      </c>
      <c r="C56" s="158" cm="1">
        <f t="array" ref="C56">INDEX(tbl_Ledger[Date],ROWS($B$27:$B56))</f>
        <v>46046</v>
      </c>
      <c r="D56" s="157" t="str" cm="1">
        <f t="array" ref="D56">IF(INDEX(tbl_Ledger[Invoice Number],ROWS($B$27:$B56))="","",INDEX(tbl_Ledger[Invoice Number],ROWS($B$27:$B56)))</f>
        <v>SIN-2026-0011</v>
      </c>
      <c r="E56" s="157" t="str" cm="1">
        <f t="array" ref="E56">INDEX(tbl_Ledger[Tax Category],ROWS($B$27:$B56))</f>
        <v>IN_STD</v>
      </c>
      <c r="F56" s="157" t="str" cm="1">
        <f t="array" ref="F56">INDEX(tbl_Ledger[Direction],ROWS($B$27:$B56))</f>
        <v>Outflow</v>
      </c>
      <c r="G56" s="159" cm="1">
        <f t="array" ref="G56">INDEX(tbl_Ledger[Tax Charged on Invoice],ROWS($B$27:$B56))</f>
        <v>5398.2</v>
      </c>
      <c r="H56" s="159" cm="1">
        <f t="array" ref="H56">INDEX(tbl_Ledger[Expected Total Tax],ROWS($B$27:$B56))</f>
        <v>5398.1999999999989</v>
      </c>
      <c r="I56" s="159" t="str" cm="1">
        <f t="array" ref="I56">INDEX(tbl_Ledger[Description],ROWS($B$27:$B56))</f>
        <v>Truck spare parts and filters</v>
      </c>
      <c r="J56" s="159" t="str" cm="1">
        <f t="array" ref="J56">INDEX(tbl_Ledger[Counterparty],ROWS($B$27:$B56))</f>
        <v>Bono Workshop Services Ltd</v>
      </c>
      <c r="K56" s="160" t="str">
        <f>IF(COUNTIF(Dup_Exclusions,$E56)&gt;0,"No","Yes")</f>
        <v>Yes</v>
      </c>
      <c r="L56" s="161" t="str">
        <f>IF(AND($D56="",COUNTIF(NoInv_Exempt,$E56)=0),"Yes","No")</f>
        <v>No</v>
      </c>
      <c r="M56" s="161" t="str" cm="1">
        <f t="array" ref="M56">IF(AND($D56&lt;&gt;"",$K56="Yes"),IF(SUMPRODUCT((tbl_Ledger[Invoice Number]=$D56)*(COUNTIF(Dup_Exclusions,tbl_Ledger[Tax Category])=0))&gt;1,"Yes","No"),"No")</f>
        <v>No</v>
      </c>
      <c r="N56" s="161" t="str">
        <f>IF(ABS($G56-$H56)&gt;Tax_Tolerance,"Yes","No")</f>
        <v>No</v>
      </c>
      <c r="O56" s="161" t="str">
        <f>IF(OR(AND($F56="Inflow",LEFT($E56,LEN(Prefix_Outflow))=Prefix_Outflow),AND($F56="Outflow",LEFT($E56,LEN(Prefix_Inflow))=Prefix_Inflow)),"Yes","No")</f>
        <v>No</v>
      </c>
      <c r="P56" s="161" t="str" cm="1">
        <f t="array" ref="P56">IF(AND(COUNTIF(Suspect_Categories,$E56)&gt;0,SUMPRODUCT(--ISNUMBER(SEARCH(Suspect_Keywords,$I56&amp;" "&amp;$J56)))&gt;0),"Yes","No")</f>
        <v>No</v>
      </c>
      <c r="Q56" s="161" t="str">
        <f t="shared" si="0"/>
        <v>No</v>
      </c>
    </row>
    <row r="57" spans="1:17" x14ac:dyDescent="0.3">
      <c r="A57" s="11"/>
      <c r="B57" s="157" cm="1">
        <f t="array" ref="B57">INDEX(tbl_Ledger[Row ID],ROWS($B$27:$B57))</f>
        <v>31</v>
      </c>
      <c r="C57" s="158" cm="1">
        <f t="array" ref="C57">INDEX(tbl_Ledger[Date],ROWS($B$27:$B57))</f>
        <v>46046</v>
      </c>
      <c r="D57" s="157" t="str" cm="1">
        <f t="array" ref="D57">IF(INDEX(tbl_Ledger[Invoice Number],ROWS($B$27:$B57))="","",INDEX(tbl_Ledger[Invoice Number],ROWS($B$27:$B57)))</f>
        <v>SIN-2026-0012</v>
      </c>
      <c r="E57" s="157" t="str" cm="1">
        <f t="array" ref="E57">INDEX(tbl_Ledger[Tax Category],ROWS($B$27:$B57))</f>
        <v>IN_STD</v>
      </c>
      <c r="F57" s="157" t="str" cm="1">
        <f t="array" ref="F57">INDEX(tbl_Ledger[Direction],ROWS($B$27:$B57))</f>
        <v>Outflow</v>
      </c>
      <c r="G57" s="159" cm="1">
        <f t="array" ref="G57">INDEX(tbl_Ledger[Tax Charged on Invoice],ROWS($B$27:$B57))</f>
        <v>861</v>
      </c>
      <c r="H57" s="159" cm="1">
        <f t="array" ref="H57">INDEX(tbl_Ledger[Expected Total Tax],ROWS($B$27:$B57))</f>
        <v>861</v>
      </c>
      <c r="I57" s="159" t="str" cm="1">
        <f t="array" ref="I57">INDEX(tbl_Ledger[Description],ROWS($B$27:$B57))</f>
        <v>Fleet tracking software subscription</v>
      </c>
      <c r="J57" s="159" t="str" cm="1">
        <f t="array" ref="J57">INDEX(tbl_Ledger[Counterparty],ROWS($B$27:$B57))</f>
        <v>Greenfield IT Solutions Ltd</v>
      </c>
      <c r="K57" s="160" t="str">
        <f>IF(COUNTIF(Dup_Exclusions,$E57)&gt;0,"No","Yes")</f>
        <v>Yes</v>
      </c>
      <c r="L57" s="161" t="str">
        <f>IF(AND($D57="",COUNTIF(NoInv_Exempt,$E57)=0),"Yes","No")</f>
        <v>No</v>
      </c>
      <c r="M57" s="161" t="str" cm="1">
        <f t="array" ref="M57">IF(AND($D57&lt;&gt;"",$K57="Yes"),IF(SUMPRODUCT((tbl_Ledger[Invoice Number]=$D57)*(COUNTIF(Dup_Exclusions,tbl_Ledger[Tax Category])=0))&gt;1,"Yes","No"),"No")</f>
        <v>No</v>
      </c>
      <c r="N57" s="161" t="str">
        <f>IF(ABS($G57-$H57)&gt;Tax_Tolerance,"Yes","No")</f>
        <v>No</v>
      </c>
      <c r="O57" s="161" t="str">
        <f>IF(OR(AND($F57="Inflow",LEFT($E57,LEN(Prefix_Outflow))=Prefix_Outflow),AND($F57="Outflow",LEFT($E57,LEN(Prefix_Inflow))=Prefix_Inflow)),"Yes","No")</f>
        <v>No</v>
      </c>
      <c r="P57" s="161" t="str" cm="1">
        <f t="array" ref="P57">IF(AND(COUNTIF(Suspect_Categories,$E57)&gt;0,SUMPRODUCT(--ISNUMBER(SEARCH(Suspect_Keywords,$I57&amp;" "&amp;$J57)))&gt;0),"Yes","No")</f>
        <v>No</v>
      </c>
      <c r="Q57" s="161" t="str">
        <f t="shared" si="0"/>
        <v>No</v>
      </c>
    </row>
    <row r="58" spans="1:17" x14ac:dyDescent="0.3">
      <c r="A58" s="11"/>
      <c r="B58" s="157" cm="1">
        <f t="array" ref="B58">INDEX(tbl_Ledger[Row ID],ROWS($B$27:$B58))</f>
        <v>32</v>
      </c>
      <c r="C58" s="158" cm="1">
        <f t="array" ref="C58">INDEX(tbl_Ledger[Date],ROWS($B$27:$B58))</f>
        <v>46046</v>
      </c>
      <c r="D58" s="157" t="str" cm="1">
        <f t="array" ref="D58">IF(INDEX(tbl_Ledger[Invoice Number],ROWS($B$27:$B58))="","",INDEX(tbl_Ledger[Invoice Number],ROWS($B$27:$B58)))</f>
        <v>NHL-2026-0016</v>
      </c>
      <c r="E58" s="157" t="str" cm="1">
        <f t="array" ref="E58">INDEX(tbl_Ledger[Tax Category],ROWS($B$27:$B58))</f>
        <v>OUT_STD</v>
      </c>
      <c r="F58" s="157" t="str" cm="1">
        <f t="array" ref="F58">INDEX(tbl_Ledger[Direction],ROWS($B$27:$B58))</f>
        <v>Inflow</v>
      </c>
      <c r="G58" s="159" cm="1">
        <f t="array" ref="G58">INDEX(tbl_Ledger[Tax Charged on Invoice],ROWS($B$27:$B58))</f>
        <v>13648</v>
      </c>
      <c r="H58" s="159" cm="1">
        <f t="array" ref="H58">INDEX(tbl_Ledger[Expected Total Tax],ROWS($B$27:$B58))</f>
        <v>13648</v>
      </c>
      <c r="I58" s="159" t="str" cm="1">
        <f t="array" ref="I58">INDEX(tbl_Ledger[Description],ROWS($B$27:$B58))</f>
        <v>Bulk haulage of AGO, Tema-Bolgatanga, 2 trips</v>
      </c>
      <c r="J58" s="159" t="str" cm="1">
        <f t="array" ref="J58">INDEX(tbl_Ledger[Counterparty],ROWS($B$27:$B58))</f>
        <v>Tema Bulk Energy Ltd</v>
      </c>
      <c r="K58" s="160" t="str">
        <f>IF(COUNTIF(Dup_Exclusions,$E58)&gt;0,"No","Yes")</f>
        <v>Yes</v>
      </c>
      <c r="L58" s="161" t="str">
        <f>IF(AND($D58="",COUNTIF(NoInv_Exempt,$E58)=0),"Yes","No")</f>
        <v>No</v>
      </c>
      <c r="M58" s="161" t="str" cm="1">
        <f t="array" ref="M58">IF(AND($D58&lt;&gt;"",$K58="Yes"),IF(SUMPRODUCT((tbl_Ledger[Invoice Number]=$D58)*(COUNTIF(Dup_Exclusions,tbl_Ledger[Tax Category])=0))&gt;1,"Yes","No"),"No")</f>
        <v>No</v>
      </c>
      <c r="N58" s="161" t="str">
        <f>IF(ABS($G58-$H58)&gt;Tax_Tolerance,"Yes","No")</f>
        <v>No</v>
      </c>
      <c r="O58" s="161" t="str">
        <f>IF(OR(AND($F58="Inflow",LEFT($E58,LEN(Prefix_Outflow))=Prefix_Outflow),AND($F58="Outflow",LEFT($E58,LEN(Prefix_Inflow))=Prefix_Inflow)),"Yes","No")</f>
        <v>No</v>
      </c>
      <c r="P58" s="161" t="str" cm="1">
        <f t="array" ref="P58">IF(AND(COUNTIF(Suspect_Categories,$E58)&gt;0,SUMPRODUCT(--ISNUMBER(SEARCH(Suspect_Keywords,$I58&amp;" "&amp;$J58)))&gt;0),"Yes","No")</f>
        <v>No</v>
      </c>
      <c r="Q58" s="161" t="str">
        <f t="shared" si="0"/>
        <v>No</v>
      </c>
    </row>
    <row r="59" spans="1:17" x14ac:dyDescent="0.3">
      <c r="A59" s="11"/>
      <c r="B59" s="157" cm="1">
        <f t="array" ref="B59">INDEX(tbl_Ledger[Row ID],ROWS($B$27:$B59))</f>
        <v>33</v>
      </c>
      <c r="C59" s="158" cm="1">
        <f t="array" ref="C59">INDEX(tbl_Ledger[Date],ROWS($B$27:$B59))</f>
        <v>46047</v>
      </c>
      <c r="D59" s="157" t="str" cm="1">
        <f t="array" ref="D59">IF(INDEX(tbl_Ledger[Invoice Number],ROWS($B$27:$B59))="","",INDEX(tbl_Ledger[Invoice Number],ROWS($B$27:$B59)))</f>
        <v>NHL-2026-0017</v>
      </c>
      <c r="E59" s="157" t="str" cm="1">
        <f t="array" ref="E59">INDEX(tbl_Ledger[Tax Category],ROWS($B$27:$B59))</f>
        <v>OUT_STD</v>
      </c>
      <c r="F59" s="157" t="str" cm="1">
        <f t="array" ref="F59">INDEX(tbl_Ledger[Direction],ROWS($B$27:$B59))</f>
        <v>Inflow</v>
      </c>
      <c r="G59" s="159" cm="1">
        <f t="array" ref="G59">INDEX(tbl_Ledger[Tax Charged on Invoice],ROWS($B$27:$B59))</f>
        <v>11433.2</v>
      </c>
      <c r="H59" s="159" cm="1">
        <f t="array" ref="H59">INDEX(tbl_Ledger[Expected Total Tax],ROWS($B$27:$B59))</f>
        <v>11433.199999999999</v>
      </c>
      <c r="I59" s="159" t="str" cm="1">
        <f t="array" ref="I59">INDEX(tbl_Ledger[Description],ROWS($B$27:$B59))</f>
        <v>Bulk haulage of LPG, Tema-Ho, 6 trips</v>
      </c>
      <c r="J59" s="159" t="str" cm="1">
        <f t="array" ref="J59">INDEX(tbl_Ledger[Counterparty],ROWS($B$27:$B59))</f>
        <v>Adinkra Oil Marketing Ltd</v>
      </c>
      <c r="K59" s="160" t="str">
        <f>IF(COUNTIF(Dup_Exclusions,$E59)&gt;0,"No","Yes")</f>
        <v>Yes</v>
      </c>
      <c r="L59" s="161" t="str">
        <f>IF(AND($D59="",COUNTIF(NoInv_Exempt,$E59)=0),"Yes","No")</f>
        <v>No</v>
      </c>
      <c r="M59" s="161" t="str" cm="1">
        <f t="array" ref="M59">IF(AND($D59&lt;&gt;"",$K59="Yes"),IF(SUMPRODUCT((tbl_Ledger[Invoice Number]=$D59)*(COUNTIF(Dup_Exclusions,tbl_Ledger[Tax Category])=0))&gt;1,"Yes","No"),"No")</f>
        <v>No</v>
      </c>
      <c r="N59" s="161" t="str">
        <f>IF(ABS($G59-$H59)&gt;Tax_Tolerance,"Yes","No")</f>
        <v>No</v>
      </c>
      <c r="O59" s="161" t="str">
        <f>IF(OR(AND($F59="Inflow",LEFT($E59,LEN(Prefix_Outflow))=Prefix_Outflow),AND($F59="Outflow",LEFT($E59,LEN(Prefix_Inflow))=Prefix_Inflow)),"Yes","No")</f>
        <v>No</v>
      </c>
      <c r="P59" s="161" t="str" cm="1">
        <f t="array" ref="P59">IF(AND(COUNTIF(Suspect_Categories,$E59)&gt;0,SUMPRODUCT(--ISNUMBER(SEARCH(Suspect_Keywords,$I59&amp;" "&amp;$J59)))&gt;0),"Yes","No")</f>
        <v>No</v>
      </c>
      <c r="Q59" s="161" t="str">
        <f t="shared" si="0"/>
        <v>No</v>
      </c>
    </row>
    <row r="60" spans="1:17" x14ac:dyDescent="0.3">
      <c r="A60" s="11"/>
      <c r="B60" s="157" cm="1">
        <f t="array" ref="B60">INDEX(tbl_Ledger[Row ID],ROWS($B$27:$B60))</f>
        <v>34</v>
      </c>
      <c r="C60" s="158" cm="1">
        <f t="array" ref="C60">INDEX(tbl_Ledger[Date],ROWS($B$27:$B60))</f>
        <v>46048</v>
      </c>
      <c r="D60" s="157" t="str" cm="1">
        <f t="array" ref="D60">IF(INDEX(tbl_Ledger[Invoice Number],ROWS($B$27:$B60))="","",INDEX(tbl_Ledger[Invoice Number],ROWS($B$27:$B60)))</f>
        <v>SIN-2026-0013</v>
      </c>
      <c r="E60" s="157" t="str" cm="1">
        <f t="array" ref="E60">INDEX(tbl_Ledger[Tax Category],ROWS($B$27:$B60))</f>
        <v>IN_EXEMPT</v>
      </c>
      <c r="F60" s="157" t="str" cm="1">
        <f t="array" ref="F60">INDEX(tbl_Ledger[Direction],ROWS($B$27:$B60))</f>
        <v>Outflow</v>
      </c>
      <c r="G60" s="159" cm="1">
        <f t="array" ref="G60">INDEX(tbl_Ledger[Tax Charged on Invoice],ROWS($B$27:$B60))</f>
        <v>0</v>
      </c>
      <c r="H60" s="159" cm="1">
        <f t="array" ref="H60">INDEX(tbl_Ledger[Expected Total Tax],ROWS($B$27:$B60))</f>
        <v>0</v>
      </c>
      <c r="I60" s="159" t="str" cm="1">
        <f t="array" ref="I60">INDEX(tbl_Ledger[Description],ROWS($B$27:$B60))</f>
        <v>Diesel (AGO) purchased for own fleet use, 9,293 litres</v>
      </c>
      <c r="J60" s="159" t="str" cm="1">
        <f t="array" ref="J60">INDEX(tbl_Ledger[Counterparty],ROWS($B$27:$B60))</f>
        <v>Zenith Fuel Depot Ltd</v>
      </c>
      <c r="K60" s="160" t="str">
        <f>IF(COUNTIF(Dup_Exclusions,$E60)&gt;0,"No","Yes")</f>
        <v>Yes</v>
      </c>
      <c r="L60" s="161" t="str">
        <f>IF(AND($D60="",COUNTIF(NoInv_Exempt,$E60)=0),"Yes","No")</f>
        <v>No</v>
      </c>
      <c r="M60" s="161" t="str" cm="1">
        <f t="array" ref="M60">IF(AND($D60&lt;&gt;"",$K60="Yes"),IF(SUMPRODUCT((tbl_Ledger[Invoice Number]=$D60)*(COUNTIF(Dup_Exclusions,tbl_Ledger[Tax Category])=0))&gt;1,"Yes","No"),"No")</f>
        <v>No</v>
      </c>
      <c r="N60" s="161" t="str">
        <f>IF(ABS($G60-$H60)&gt;Tax_Tolerance,"Yes","No")</f>
        <v>No</v>
      </c>
      <c r="O60" s="161" t="str">
        <f>IF(OR(AND($F60="Inflow",LEFT($E60,LEN(Prefix_Outflow))=Prefix_Outflow),AND($F60="Outflow",LEFT($E60,LEN(Prefix_Inflow))=Prefix_Inflow)),"Yes","No")</f>
        <v>No</v>
      </c>
      <c r="P60" s="161" t="str" cm="1">
        <f t="array" ref="P60">IF(AND(COUNTIF(Suspect_Categories,$E60)&gt;0,SUMPRODUCT(--ISNUMBER(SEARCH(Suspect_Keywords,$I60&amp;" "&amp;$J60)))&gt;0),"Yes","No")</f>
        <v>No</v>
      </c>
      <c r="Q60" s="161" t="str">
        <f t="shared" si="0"/>
        <v>No</v>
      </c>
    </row>
    <row r="61" spans="1:17" x14ac:dyDescent="0.3">
      <c r="A61" s="11"/>
      <c r="B61" s="157" cm="1">
        <f t="array" ref="B61">INDEX(tbl_Ledger[Row ID],ROWS($B$27:$B61))</f>
        <v>35</v>
      </c>
      <c r="C61" s="158" cm="1">
        <f t="array" ref="C61">INDEX(tbl_Ledger[Date],ROWS($B$27:$B61))</f>
        <v>46050</v>
      </c>
      <c r="D61" s="157" t="str" cm="1">
        <f t="array" ref="D61">IF(INDEX(tbl_Ledger[Invoice Number],ROWS($B$27:$B61))="","",INDEX(tbl_Ledger[Invoice Number],ROWS($B$27:$B61)))</f>
        <v>SIN-2026-0014</v>
      </c>
      <c r="E61" s="157" t="str" cm="1">
        <f t="array" ref="E61">INDEX(tbl_Ledger[Tax Category],ROWS($B$27:$B61))</f>
        <v>IN_EXEMPT</v>
      </c>
      <c r="F61" s="157" t="str" cm="1">
        <f t="array" ref="F61">INDEX(tbl_Ledger[Direction],ROWS($B$27:$B61))</f>
        <v>Outflow</v>
      </c>
      <c r="G61" s="159" cm="1">
        <f t="array" ref="G61">INDEX(tbl_Ledger[Tax Charged on Invoice],ROWS($B$27:$B61))</f>
        <v>0</v>
      </c>
      <c r="H61" s="159" cm="1">
        <f t="array" ref="H61">INDEX(tbl_Ledger[Expected Total Tax],ROWS($B$27:$B61))</f>
        <v>0</v>
      </c>
      <c r="I61" s="159" t="str" cm="1">
        <f t="array" ref="I61">INDEX(tbl_Ledger[Description],ROWS($B$27:$B61))</f>
        <v>Motor fleet insurance premium</v>
      </c>
      <c r="J61" s="159" t="str" cm="1">
        <f t="array" ref="J61">INDEX(tbl_Ledger[Counterparty],ROWS($B$27:$B61))</f>
        <v>Unity Assurance Ltd</v>
      </c>
      <c r="K61" s="160" t="str">
        <f>IF(COUNTIF(Dup_Exclusions,$E61)&gt;0,"No","Yes")</f>
        <v>Yes</v>
      </c>
      <c r="L61" s="161" t="str">
        <f>IF(AND($D61="",COUNTIF(NoInv_Exempt,$E61)=0),"Yes","No")</f>
        <v>No</v>
      </c>
      <c r="M61" s="161" t="str" cm="1">
        <f t="array" ref="M61">IF(AND($D61&lt;&gt;"",$K61="Yes"),IF(SUMPRODUCT((tbl_Ledger[Invoice Number]=$D61)*(COUNTIF(Dup_Exclusions,tbl_Ledger[Tax Category])=0))&gt;1,"Yes","No"),"No")</f>
        <v>No</v>
      </c>
      <c r="N61" s="161" t="str">
        <f>IF(ABS($G61-$H61)&gt;Tax_Tolerance,"Yes","No")</f>
        <v>No</v>
      </c>
      <c r="O61" s="161" t="str">
        <f>IF(OR(AND($F61="Inflow",LEFT($E61,LEN(Prefix_Outflow))=Prefix_Outflow),AND($F61="Outflow",LEFT($E61,LEN(Prefix_Inflow))=Prefix_Inflow)),"Yes","No")</f>
        <v>No</v>
      </c>
      <c r="P61" s="161" t="str" cm="1">
        <f t="array" ref="P61">IF(AND(COUNTIF(Suspect_Categories,$E61)&gt;0,SUMPRODUCT(--ISNUMBER(SEARCH(Suspect_Keywords,$I61&amp;" "&amp;$J61)))&gt;0),"Yes","No")</f>
        <v>No</v>
      </c>
      <c r="Q61" s="161" t="str">
        <f t="shared" si="0"/>
        <v>No</v>
      </c>
    </row>
    <row r="62" spans="1:17" x14ac:dyDescent="0.3">
      <c r="A62" s="11"/>
      <c r="B62" s="157" cm="1">
        <f t="array" ref="B62">INDEX(tbl_Ledger[Row ID],ROWS($B$27:$B62))</f>
        <v>36</v>
      </c>
      <c r="C62" s="158" cm="1">
        <f t="array" ref="C62">INDEX(tbl_Ledger[Date],ROWS($B$27:$B62))</f>
        <v>46050</v>
      </c>
      <c r="D62" s="157" t="str" cm="1">
        <f t="array" ref="D62">IF(INDEX(tbl_Ledger[Invoice Number],ROWS($B$27:$B62))="","",INDEX(tbl_Ledger[Invoice Number],ROWS($B$27:$B62)))</f>
        <v>NHL-2026-0018</v>
      </c>
      <c r="E62" s="157" t="str" cm="1">
        <f t="array" ref="E62">INDEX(tbl_Ledger[Tax Category],ROWS($B$27:$B62))</f>
        <v>OUT_STD</v>
      </c>
      <c r="F62" s="157" t="str" cm="1">
        <f t="array" ref="F62">INDEX(tbl_Ledger[Direction],ROWS($B$27:$B62))</f>
        <v>Inflow</v>
      </c>
      <c r="G62" s="159" cm="1">
        <f t="array" ref="G62">INDEX(tbl_Ledger[Tax Charged on Invoice],ROWS($B$27:$B62))</f>
        <v>5595.6</v>
      </c>
      <c r="H62" s="159" cm="1">
        <f t="array" ref="H62">INDEX(tbl_Ledger[Expected Total Tax],ROWS($B$27:$B62))</f>
        <v>5595.5999999999995</v>
      </c>
      <c r="I62" s="159" t="str" cm="1">
        <f t="array" ref="I62">INDEX(tbl_Ledger[Description],ROWS($B$27:$B62))</f>
        <v>Bulk haulage of AGO, Tema-Bolgatanga, 5 trips</v>
      </c>
      <c r="J62" s="159" t="str" cm="1">
        <f t="array" ref="J62">INDEX(tbl_Ledger[Counterparty],ROWS($B$27:$B62))</f>
        <v>Tema Bulk Energy Ltd</v>
      </c>
      <c r="K62" s="160" t="str">
        <f>IF(COUNTIF(Dup_Exclusions,$E62)&gt;0,"No","Yes")</f>
        <v>Yes</v>
      </c>
      <c r="L62" s="161" t="str">
        <f>IF(AND($D62="",COUNTIF(NoInv_Exempt,$E62)=0),"Yes","No")</f>
        <v>No</v>
      </c>
      <c r="M62" s="161" t="str" cm="1">
        <f t="array" ref="M62">IF(AND($D62&lt;&gt;"",$K62="Yes"),IF(SUMPRODUCT((tbl_Ledger[Invoice Number]=$D62)*(COUNTIF(Dup_Exclusions,tbl_Ledger[Tax Category])=0))&gt;1,"Yes","No"),"No")</f>
        <v>No</v>
      </c>
      <c r="N62" s="161" t="str">
        <f>IF(ABS($G62-$H62)&gt;Tax_Tolerance,"Yes","No")</f>
        <v>No</v>
      </c>
      <c r="O62" s="161" t="str">
        <f>IF(OR(AND($F62="Inflow",LEFT($E62,LEN(Prefix_Outflow))=Prefix_Outflow),AND($F62="Outflow",LEFT($E62,LEN(Prefix_Inflow))=Prefix_Inflow)),"Yes","No")</f>
        <v>No</v>
      </c>
      <c r="P62" s="161" t="str" cm="1">
        <f t="array" ref="P62">IF(AND(COUNTIF(Suspect_Categories,$E62)&gt;0,SUMPRODUCT(--ISNUMBER(SEARCH(Suspect_Keywords,$I62&amp;" "&amp;$J62)))&gt;0),"Yes","No")</f>
        <v>No</v>
      </c>
      <c r="Q62" s="161" t="str">
        <f t="shared" si="0"/>
        <v>No</v>
      </c>
    </row>
    <row r="63" spans="1:17" x14ac:dyDescent="0.3">
      <c r="A63" s="11"/>
      <c r="B63" s="157" cm="1">
        <f t="array" ref="B63">INDEX(tbl_Ledger[Row ID],ROWS($B$27:$B63))</f>
        <v>37</v>
      </c>
      <c r="C63" s="158" cm="1">
        <f t="array" ref="C63">INDEX(tbl_Ledger[Date],ROWS($B$27:$B63))</f>
        <v>46050</v>
      </c>
      <c r="D63" s="157" t="str" cm="1">
        <f t="array" ref="D63">IF(INDEX(tbl_Ledger[Invoice Number],ROWS($B$27:$B63))="","",INDEX(tbl_Ledger[Invoice Number],ROWS($B$27:$B63)))</f>
        <v>NHL-2026-0019</v>
      </c>
      <c r="E63" s="157" t="str" cm="1">
        <f t="array" ref="E63">INDEX(tbl_Ledger[Tax Category],ROWS($B$27:$B63))</f>
        <v>WHT_SVC</v>
      </c>
      <c r="F63" s="157" t="str" cm="1">
        <f t="array" ref="F63">INDEX(tbl_Ledger[Direction],ROWS($B$27:$B63))</f>
        <v>Inflow</v>
      </c>
      <c r="G63" s="159" cm="1">
        <f t="array" ref="G63">INDEX(tbl_Ledger[Tax Charged on Invoice],ROWS($B$27:$B63))</f>
        <v>8361.6</v>
      </c>
      <c r="H63" s="159" cm="1">
        <f t="array" ref="H63">INDEX(tbl_Ledger[Expected Total Tax],ROWS($B$27:$B63))</f>
        <v>8361.6</v>
      </c>
      <c r="I63" s="159" t="str" cm="1">
        <f t="array" ref="I63">INDEX(tbl_Ledger[Description],ROWS($B$27:$B63))</f>
        <v>Contract haulage of PMS, Kumasi-Sunyani; customer withheld income tax at 7.5% on the service fee</v>
      </c>
      <c r="J63" s="159" t="str" cm="1">
        <f t="array" ref="J63">INDEX(tbl_Ledger[Counterparty],ROWS($B$27:$B63))</f>
        <v>Adinkra Oil Marketing Ltd</v>
      </c>
      <c r="K63" s="160" t="str">
        <f>IF(COUNTIF(Dup_Exclusions,$E63)&gt;0,"No","Yes")</f>
        <v>Yes</v>
      </c>
      <c r="L63" s="161" t="str">
        <f>IF(AND($D63="",COUNTIF(NoInv_Exempt,$E63)=0),"Yes","No")</f>
        <v>No</v>
      </c>
      <c r="M63" s="161" t="str" cm="1">
        <f t="array" ref="M63">IF(AND($D63&lt;&gt;"",$K63="Yes"),IF(SUMPRODUCT((tbl_Ledger[Invoice Number]=$D63)*(COUNTIF(Dup_Exclusions,tbl_Ledger[Tax Category])=0))&gt;1,"Yes","No"),"No")</f>
        <v>No</v>
      </c>
      <c r="N63" s="161" t="str">
        <f>IF(ABS($G63-$H63)&gt;Tax_Tolerance,"Yes","No")</f>
        <v>No</v>
      </c>
      <c r="O63" s="161" t="str">
        <f>IF(OR(AND($F63="Inflow",LEFT($E63,LEN(Prefix_Outflow))=Prefix_Outflow),AND($F63="Outflow",LEFT($E63,LEN(Prefix_Inflow))=Prefix_Inflow)),"Yes","No")</f>
        <v>No</v>
      </c>
      <c r="P63" s="161" t="str" cm="1">
        <f t="array" ref="P63">IF(AND(COUNTIF(Suspect_Categories,$E63)&gt;0,SUMPRODUCT(--ISNUMBER(SEARCH(Suspect_Keywords,$I63&amp;" "&amp;$J63)))&gt;0),"Yes","No")</f>
        <v>No</v>
      </c>
      <c r="Q63" s="161" t="str">
        <f t="shared" si="0"/>
        <v>No</v>
      </c>
    </row>
    <row r="64" spans="1:17" x14ac:dyDescent="0.3">
      <c r="A64" s="11"/>
      <c r="B64" s="157" cm="1">
        <f t="array" ref="B64">INDEX(tbl_Ledger[Row ID],ROWS($B$27:$B64))</f>
        <v>38</v>
      </c>
      <c r="C64" s="158" cm="1">
        <f t="array" ref="C64">INDEX(tbl_Ledger[Date],ROWS($B$27:$B64))</f>
        <v>46051</v>
      </c>
      <c r="D64" s="157" t="str" cm="1">
        <f t="array" ref="D64">IF(INDEX(tbl_Ledger[Invoice Number],ROWS($B$27:$B64))="","",INDEX(tbl_Ledger[Invoice Number],ROWS($B$27:$B64)))</f>
        <v>NHL-2026-0020</v>
      </c>
      <c r="E64" s="157" t="str" cm="1">
        <f t="array" ref="E64">INDEX(tbl_Ledger[Tax Category],ROWS($B$27:$B64))</f>
        <v>OUT_STD</v>
      </c>
      <c r="F64" s="157" t="str" cm="1">
        <f t="array" ref="F64">INDEX(tbl_Ledger[Direction],ROWS($B$27:$B64))</f>
        <v>Inflow</v>
      </c>
      <c r="G64" s="159" cm="1">
        <f t="array" ref="G64">INDEX(tbl_Ledger[Tax Charged on Invoice],ROWS($B$27:$B64))</f>
        <v>12267.2</v>
      </c>
      <c r="H64" s="159" cm="1">
        <f t="array" ref="H64">INDEX(tbl_Ledger[Expected Total Tax],ROWS($B$27:$B64))</f>
        <v>12267.199999999999</v>
      </c>
      <c r="I64" s="159" t="str" cm="1">
        <f t="array" ref="I64">INDEX(tbl_Ledger[Description],ROWS($B$27:$B64))</f>
        <v>Bulk haulage of LPG, Kumasi-Sunyani, 5 trips</v>
      </c>
      <c r="J64" s="159" t="str" cm="1">
        <f t="array" ref="J64">INDEX(tbl_Ledger[Counterparty],ROWS($B$27:$B64))</f>
        <v>Adinkra Oil Marketing Ltd</v>
      </c>
      <c r="K64" s="160" t="str">
        <f>IF(COUNTIF(Dup_Exclusions,$E64)&gt;0,"No","Yes")</f>
        <v>Yes</v>
      </c>
      <c r="L64" s="161" t="str">
        <f>IF(AND($D64="",COUNTIF(NoInv_Exempt,$E64)=0),"Yes","No")</f>
        <v>No</v>
      </c>
      <c r="M64" s="161" t="str" cm="1">
        <f t="array" ref="M64">IF(AND($D64&lt;&gt;"",$K64="Yes"),IF(SUMPRODUCT((tbl_Ledger[Invoice Number]=$D64)*(COUNTIF(Dup_Exclusions,tbl_Ledger[Tax Category])=0))&gt;1,"Yes","No"),"No")</f>
        <v>No</v>
      </c>
      <c r="N64" s="161" t="str">
        <f>IF(ABS($G64-$H64)&gt;Tax_Tolerance,"Yes","No")</f>
        <v>No</v>
      </c>
      <c r="O64" s="161" t="str">
        <f>IF(OR(AND($F64="Inflow",LEFT($E64,LEN(Prefix_Outflow))=Prefix_Outflow),AND($F64="Outflow",LEFT($E64,LEN(Prefix_Inflow))=Prefix_Inflow)),"Yes","No")</f>
        <v>No</v>
      </c>
      <c r="P64" s="161" t="str" cm="1">
        <f t="array" ref="P64">IF(AND(COUNTIF(Suspect_Categories,$E64)&gt;0,SUMPRODUCT(--ISNUMBER(SEARCH(Suspect_Keywords,$I64&amp;" "&amp;$J64)))&gt;0),"Yes","No")</f>
        <v>No</v>
      </c>
      <c r="Q64" s="161" t="str">
        <f t="shared" si="0"/>
        <v>No</v>
      </c>
    </row>
    <row r="65" spans="1:17" x14ac:dyDescent="0.3">
      <c r="A65" s="11"/>
      <c r="B65" s="157" cm="1">
        <f t="array" ref="B65">INDEX(tbl_Ledger[Row ID],ROWS($B$27:$B65))</f>
        <v>39</v>
      </c>
      <c r="C65" s="158" cm="1">
        <f t="array" ref="C65">INDEX(tbl_Ledger[Date],ROWS($B$27:$B65))</f>
        <v>46052</v>
      </c>
      <c r="D65" s="157" t="str" cm="1">
        <f t="array" ref="D65">IF(INDEX(tbl_Ledger[Invoice Number],ROWS($B$27:$B65))="","",INDEX(tbl_Ledger[Invoice Number],ROWS($B$27:$B65)))</f>
        <v>BNK-2026-0002</v>
      </c>
      <c r="E65" s="157" t="str" cm="1">
        <f t="array" ref="E65">INDEX(tbl_Ledger[Tax Category],ROWS($B$27:$B65))</f>
        <v>IN_EXEMPT</v>
      </c>
      <c r="F65" s="157" t="str" cm="1">
        <f t="array" ref="F65">INDEX(tbl_Ledger[Direction],ROWS($B$27:$B65))</f>
        <v>Outflow</v>
      </c>
      <c r="G65" s="159" cm="1">
        <f t="array" ref="G65">INDEX(tbl_Ledger[Tax Charged on Invoice],ROWS($B$27:$B65))</f>
        <v>0</v>
      </c>
      <c r="H65" s="159" cm="1">
        <f t="array" ref="H65">INDEX(tbl_Ledger[Expected Total Tax],ROWS($B$27:$B65))</f>
        <v>0</v>
      </c>
      <c r="I65" s="159" t="str" cm="1">
        <f t="array" ref="I65">INDEX(tbl_Ledger[Description],ROWS($B$27:$B65))</f>
        <v>Bank charges and account maintenance</v>
      </c>
      <c r="J65" s="159" t="str" cm="1">
        <f t="array" ref="J65">INDEX(tbl_Ledger[Counterparty],ROWS($B$27:$B65))</f>
        <v>Meridian Bank Ghana Ltd</v>
      </c>
      <c r="K65" s="160" t="str">
        <f>IF(COUNTIF(Dup_Exclusions,$E65)&gt;0,"No","Yes")</f>
        <v>Yes</v>
      </c>
      <c r="L65" s="161" t="str">
        <f>IF(AND($D65="",COUNTIF(NoInv_Exempt,$E65)=0),"Yes","No")</f>
        <v>No</v>
      </c>
      <c r="M65" s="161" t="str" cm="1">
        <f t="array" ref="M65">IF(AND($D65&lt;&gt;"",$K65="Yes"),IF(SUMPRODUCT((tbl_Ledger[Invoice Number]=$D65)*(COUNTIF(Dup_Exclusions,tbl_Ledger[Tax Category])=0))&gt;1,"Yes","No"),"No")</f>
        <v>No</v>
      </c>
      <c r="N65" s="161" t="str">
        <f>IF(ABS($G65-$H65)&gt;Tax_Tolerance,"Yes","No")</f>
        <v>No</v>
      </c>
      <c r="O65" s="161" t="str">
        <f>IF(OR(AND($F65="Inflow",LEFT($E65,LEN(Prefix_Outflow))=Prefix_Outflow),AND($F65="Outflow",LEFT($E65,LEN(Prefix_Inflow))=Prefix_Inflow)),"Yes","No")</f>
        <v>No</v>
      </c>
      <c r="P65" s="161" t="str" cm="1">
        <f t="array" ref="P65">IF(AND(COUNTIF(Suspect_Categories,$E65)&gt;0,SUMPRODUCT(--ISNUMBER(SEARCH(Suspect_Keywords,$I65&amp;" "&amp;$J65)))&gt;0),"Yes","No")</f>
        <v>No</v>
      </c>
      <c r="Q65" s="161" t="str">
        <f t="shared" si="0"/>
        <v>No</v>
      </c>
    </row>
    <row r="66" spans="1:17" x14ac:dyDescent="0.3">
      <c r="A66" s="11"/>
      <c r="B66" s="157" cm="1">
        <f t="array" ref="B66">INDEX(tbl_Ledger[Row ID],ROWS($B$27:$B66))</f>
        <v>40</v>
      </c>
      <c r="C66" s="158" cm="1">
        <f t="array" ref="C66">INDEX(tbl_Ledger[Date],ROWS($B$27:$B66))</f>
        <v>46052</v>
      </c>
      <c r="D66" s="157" t="str" cm="1">
        <f t="array" ref="D66">IF(INDEX(tbl_Ledger[Invoice Number],ROWS($B$27:$B66))="","",INDEX(tbl_Ledger[Invoice Number],ROWS($B$27:$B66)))</f>
        <v>NHL-2026-0021</v>
      </c>
      <c r="E66" s="157" t="str" cm="1">
        <f t="array" ref="E66">INDEX(tbl_Ledger[Tax Category],ROWS($B$27:$B66))</f>
        <v>OUT_STD</v>
      </c>
      <c r="F66" s="157" t="str" cm="1">
        <f t="array" ref="F66">INDEX(tbl_Ledger[Direction],ROWS($B$27:$B66))</f>
        <v>Inflow</v>
      </c>
      <c r="G66" s="159" cm="1">
        <f t="array" ref="G66">INDEX(tbl_Ledger[Tax Charged on Invoice],ROWS($B$27:$B66))</f>
        <v>14986.6</v>
      </c>
      <c r="H66" s="159" cm="1">
        <f t="array" ref="H66">INDEX(tbl_Ledger[Expected Total Tax],ROWS($B$27:$B66))</f>
        <v>14986.6</v>
      </c>
      <c r="I66" s="159" t="str" cm="1">
        <f t="array" ref="I66">INDEX(tbl_Ledger[Description],ROWS($B$27:$B66))</f>
        <v>Bulk haulage of LPG, Takoradi-Tamale, 6 trips</v>
      </c>
      <c r="J66" s="159" t="str" cm="1">
        <f t="array" ref="J66">INDEX(tbl_Ledger[Counterparty],ROWS($B$27:$B66))</f>
        <v>Adinkra Oil Marketing Ltd</v>
      </c>
      <c r="K66" s="160" t="str">
        <f>IF(COUNTIF(Dup_Exclusions,$E66)&gt;0,"No","Yes")</f>
        <v>Yes</v>
      </c>
      <c r="L66" s="161" t="str">
        <f>IF(AND($D66="",COUNTIF(NoInv_Exempt,$E66)=0),"Yes","No")</f>
        <v>No</v>
      </c>
      <c r="M66" s="161" t="str" cm="1">
        <f t="array" ref="M66">IF(AND($D66&lt;&gt;"",$K66="Yes"),IF(SUMPRODUCT((tbl_Ledger[Invoice Number]=$D66)*(COUNTIF(Dup_Exclusions,tbl_Ledger[Tax Category])=0))&gt;1,"Yes","No"),"No")</f>
        <v>No</v>
      </c>
      <c r="N66" s="161" t="str">
        <f>IF(ABS($G66-$H66)&gt;Tax_Tolerance,"Yes","No")</f>
        <v>No</v>
      </c>
      <c r="O66" s="161" t="str">
        <f>IF(OR(AND($F66="Inflow",LEFT($E66,LEN(Prefix_Outflow))=Prefix_Outflow),AND($F66="Outflow",LEFT($E66,LEN(Prefix_Inflow))=Prefix_Inflow)),"Yes","No")</f>
        <v>No</v>
      </c>
      <c r="P66" s="161" t="str" cm="1">
        <f t="array" ref="P66">IF(AND(COUNTIF(Suspect_Categories,$E66)&gt;0,SUMPRODUCT(--ISNUMBER(SEARCH(Suspect_Keywords,$I66&amp;" "&amp;$J66)))&gt;0),"Yes","No")</f>
        <v>No</v>
      </c>
      <c r="Q66" s="161" t="str">
        <f t="shared" si="0"/>
        <v>No</v>
      </c>
    </row>
    <row r="67" spans="1:17" x14ac:dyDescent="0.3">
      <c r="A67" s="11"/>
      <c r="B67" s="157" cm="1">
        <f t="array" ref="B67">INDEX(tbl_Ledger[Row ID],ROWS($B$27:$B67))</f>
        <v>41</v>
      </c>
      <c r="C67" s="158" cm="1">
        <f t="array" ref="C67">INDEX(tbl_Ledger[Date],ROWS($B$27:$B67))</f>
        <v>46053</v>
      </c>
      <c r="D67" s="157" t="str" cm="1">
        <f t="array" ref="D67">IF(INDEX(tbl_Ledger[Invoice Number],ROWS($B$27:$B67))="","",INDEX(tbl_Ledger[Invoice Number],ROWS($B$27:$B67)))</f>
        <v>SIN-2026-0015</v>
      </c>
      <c r="E67" s="157" t="str" cm="1">
        <f t="array" ref="E67">INDEX(tbl_Ledger[Tax Category],ROWS($B$27:$B67))</f>
        <v>IN_STD</v>
      </c>
      <c r="F67" s="157" t="str" cm="1">
        <f t="array" ref="F67">INDEX(tbl_Ledger[Direction],ROWS($B$27:$B67))</f>
        <v>Outflow</v>
      </c>
      <c r="G67" s="159" cm="1">
        <f t="array" ref="G67">INDEX(tbl_Ledger[Tax Charged on Invoice],ROWS($B$27:$B67))</f>
        <v>1021.4</v>
      </c>
      <c r="H67" s="159" cm="1">
        <f t="array" ref="H67">INDEX(tbl_Ledger[Expected Total Tax],ROWS($B$27:$B67))</f>
        <v>1021.3999999999999</v>
      </c>
      <c r="I67" s="159" t="str" cm="1">
        <f t="array" ref="I67">INDEX(tbl_Ledger[Description],ROWS($B$27:$B67))</f>
        <v>Depot security services</v>
      </c>
      <c r="J67" s="159" t="str" cm="1">
        <f t="array" ref="J67">INDEX(tbl_Ledger[Counterparty],ROWS($B$27:$B67))</f>
        <v>Sahara Fleet Services Ltd</v>
      </c>
      <c r="K67" s="160" t="str">
        <f>IF(COUNTIF(Dup_Exclusions,$E67)&gt;0,"No","Yes")</f>
        <v>Yes</v>
      </c>
      <c r="L67" s="161" t="str">
        <f>IF(AND($D67="",COUNTIF(NoInv_Exempt,$E67)=0),"Yes","No")</f>
        <v>No</v>
      </c>
      <c r="M67" s="161" t="str" cm="1">
        <f t="array" ref="M67">IF(AND($D67&lt;&gt;"",$K67="Yes"),IF(SUMPRODUCT((tbl_Ledger[Invoice Number]=$D67)*(COUNTIF(Dup_Exclusions,tbl_Ledger[Tax Category])=0))&gt;1,"Yes","No"),"No")</f>
        <v>No</v>
      </c>
      <c r="N67" s="161" t="str">
        <f>IF(ABS($G67-$H67)&gt;Tax_Tolerance,"Yes","No")</f>
        <v>No</v>
      </c>
      <c r="O67" s="161" t="str">
        <f>IF(OR(AND($F67="Inflow",LEFT($E67,LEN(Prefix_Outflow))=Prefix_Outflow),AND($F67="Outflow",LEFT($E67,LEN(Prefix_Inflow))=Prefix_Inflow)),"Yes","No")</f>
        <v>No</v>
      </c>
      <c r="P67" s="161" t="str" cm="1">
        <f t="array" ref="P67">IF(AND(COUNTIF(Suspect_Categories,$E67)&gt;0,SUMPRODUCT(--ISNUMBER(SEARCH(Suspect_Keywords,$I67&amp;" "&amp;$J67)))&gt;0),"Yes","No")</f>
        <v>No</v>
      </c>
      <c r="Q67" s="161" t="str">
        <f t="shared" si="0"/>
        <v>No</v>
      </c>
    </row>
    <row r="68" spans="1:17" x14ac:dyDescent="0.3">
      <c r="A68" s="11"/>
      <c r="B68" s="157" cm="1">
        <f t="array" ref="B68">INDEX(tbl_Ledger[Row ID],ROWS($B$27:$B68))</f>
        <v>42</v>
      </c>
      <c r="C68" s="158" cm="1">
        <f t="array" ref="C68">INDEX(tbl_Ledger[Date],ROWS($B$27:$B68))</f>
        <v>46053</v>
      </c>
      <c r="D68" s="157" t="str" cm="1">
        <f t="array" ref="D68">IF(INDEX(tbl_Ledger[Invoice Number],ROWS($B$27:$B68))="","",INDEX(tbl_Ledger[Invoice Number],ROWS($B$27:$B68)))</f>
        <v>PAY-2026-0001</v>
      </c>
      <c r="E68" s="157" t="str" cm="1">
        <f t="array" ref="E68">INDEX(tbl_Ledger[Tax Category],ROWS($B$27:$B68))</f>
        <v>NO_VAT</v>
      </c>
      <c r="F68" s="157" t="str" cm="1">
        <f t="array" ref="F68">INDEX(tbl_Ledger[Direction],ROWS($B$27:$B68))</f>
        <v>Outflow</v>
      </c>
      <c r="G68" s="159" cm="1">
        <f t="array" ref="G68">INDEX(tbl_Ledger[Tax Charged on Invoice],ROWS($B$27:$B68))</f>
        <v>0</v>
      </c>
      <c r="H68" s="159" cm="1">
        <f t="array" ref="H68">INDEX(tbl_Ledger[Expected Total Tax],ROWS($B$27:$B68))</f>
        <v>0</v>
      </c>
      <c r="I68" s="159" t="str" cm="1">
        <f t="array" ref="I68">INDEX(tbl_Ledger[Description],ROWS($B$27:$B68))</f>
        <v>Staff salaries and wages - January</v>
      </c>
      <c r="J68" s="159" t="str" cm="1">
        <f t="array" ref="J68">INDEX(tbl_Ledger[Counterparty],ROWS($B$27:$B68))</f>
        <v>Nkabom Haulage Payroll</v>
      </c>
      <c r="K68" s="160" t="str">
        <f>IF(COUNTIF(Dup_Exclusions,$E68)&gt;0,"No","Yes")</f>
        <v>Yes</v>
      </c>
      <c r="L68" s="161" t="str">
        <f>IF(AND($D68="",COUNTIF(NoInv_Exempt,$E68)=0),"Yes","No")</f>
        <v>No</v>
      </c>
      <c r="M68" s="161" t="str" cm="1">
        <f t="array" ref="M68">IF(AND($D68&lt;&gt;"",$K68="Yes"),IF(SUMPRODUCT((tbl_Ledger[Invoice Number]=$D68)*(COUNTIF(Dup_Exclusions,tbl_Ledger[Tax Category])=0))&gt;1,"Yes","No"),"No")</f>
        <v>No</v>
      </c>
      <c r="N68" s="161" t="str">
        <f>IF(ABS($G68-$H68)&gt;Tax_Tolerance,"Yes","No")</f>
        <v>No</v>
      </c>
      <c r="O68" s="161" t="str">
        <f>IF(OR(AND($F68="Inflow",LEFT($E68,LEN(Prefix_Outflow))=Prefix_Outflow),AND($F68="Outflow",LEFT($E68,LEN(Prefix_Inflow))=Prefix_Inflow)),"Yes","No")</f>
        <v>No</v>
      </c>
      <c r="P68" s="161" t="str" cm="1">
        <f t="array" ref="P68">IF(AND(COUNTIF(Suspect_Categories,$E68)&gt;0,SUMPRODUCT(--ISNUMBER(SEARCH(Suspect_Keywords,$I68&amp;" "&amp;$J68)))&gt;0),"Yes","No")</f>
        <v>No</v>
      </c>
      <c r="Q68" s="161" t="str">
        <f t="shared" si="0"/>
        <v>No</v>
      </c>
    </row>
    <row r="69" spans="1:17" x14ac:dyDescent="0.3">
      <c r="A69" s="11"/>
      <c r="B69" s="157" cm="1">
        <f t="array" ref="B69">INDEX(tbl_Ledger[Row ID],ROWS($B$27:$B69))</f>
        <v>43</v>
      </c>
      <c r="C69" s="158" cm="1">
        <f t="array" ref="C69">INDEX(tbl_Ledger[Date],ROWS($B$27:$B69))</f>
        <v>46055</v>
      </c>
      <c r="D69" s="157" t="str" cm="1">
        <f t="array" ref="D69">IF(INDEX(tbl_Ledger[Invoice Number],ROWS($B$27:$B69))="","",INDEX(tbl_Ledger[Invoice Number],ROWS($B$27:$B69)))</f>
        <v>NHL-2026-0022</v>
      </c>
      <c r="E69" s="157" t="str" cm="1">
        <f t="array" ref="E69">INDEX(tbl_Ledger[Tax Category],ROWS($B$27:$B69))</f>
        <v>OUT_STD</v>
      </c>
      <c r="F69" s="157" t="str" cm="1">
        <f t="array" ref="F69">INDEX(tbl_Ledger[Direction],ROWS($B$27:$B69))</f>
        <v>Inflow</v>
      </c>
      <c r="G69" s="159" cm="1">
        <f t="array" ref="G69">INDEX(tbl_Ledger[Tax Charged on Invoice],ROWS($B$27:$B69))</f>
        <v>13990.2</v>
      </c>
      <c r="H69" s="159" cm="1">
        <f t="array" ref="H69">INDEX(tbl_Ledger[Expected Total Tax],ROWS($B$27:$B69))</f>
        <v>13990.199999999999</v>
      </c>
      <c r="I69" s="159" t="str" cm="1">
        <f t="array" ref="I69">INDEX(tbl_Ledger[Description],ROWS($B$27:$B69))</f>
        <v>Bulk haulage of PMS, Kumasi-Sunyani, 7 trips</v>
      </c>
      <c r="J69" s="159" t="str" cm="1">
        <f t="array" ref="J69">INDEX(tbl_Ledger[Counterparty],ROWS($B$27:$B69))</f>
        <v>Adinkra Oil Marketing Ltd</v>
      </c>
      <c r="K69" s="160" t="str">
        <f>IF(COUNTIF(Dup_Exclusions,$E69)&gt;0,"No","Yes")</f>
        <v>Yes</v>
      </c>
      <c r="L69" s="161" t="str">
        <f>IF(AND($D69="",COUNTIF(NoInv_Exempt,$E69)=0),"Yes","No")</f>
        <v>No</v>
      </c>
      <c r="M69" s="161" t="str" cm="1">
        <f t="array" ref="M69">IF(AND($D69&lt;&gt;"",$K69="Yes"),IF(SUMPRODUCT((tbl_Ledger[Invoice Number]=$D69)*(COUNTIF(Dup_Exclusions,tbl_Ledger[Tax Category])=0))&gt;1,"Yes","No"),"No")</f>
        <v>No</v>
      </c>
      <c r="N69" s="161" t="str">
        <f>IF(ABS($G69-$H69)&gt;Tax_Tolerance,"Yes","No")</f>
        <v>No</v>
      </c>
      <c r="O69" s="161" t="str">
        <f>IF(OR(AND($F69="Inflow",LEFT($E69,LEN(Prefix_Outflow))=Prefix_Outflow),AND($F69="Outflow",LEFT($E69,LEN(Prefix_Inflow))=Prefix_Inflow)),"Yes","No")</f>
        <v>No</v>
      </c>
      <c r="P69" s="161" t="str" cm="1">
        <f t="array" ref="P69">IF(AND(COUNTIF(Suspect_Categories,$E69)&gt;0,SUMPRODUCT(--ISNUMBER(SEARCH(Suspect_Keywords,$I69&amp;" "&amp;$J69)))&gt;0),"Yes","No")</f>
        <v>No</v>
      </c>
      <c r="Q69" s="161" t="str">
        <f t="shared" si="0"/>
        <v>No</v>
      </c>
    </row>
    <row r="70" spans="1:17" x14ac:dyDescent="0.3">
      <c r="A70" s="11"/>
      <c r="B70" s="157" cm="1">
        <f t="array" ref="B70">INDEX(tbl_Ledger[Row ID],ROWS($B$27:$B70))</f>
        <v>44</v>
      </c>
      <c r="C70" s="158" cm="1">
        <f t="array" ref="C70">INDEX(tbl_Ledger[Date],ROWS($B$27:$B70))</f>
        <v>46056</v>
      </c>
      <c r="D70" s="157" t="str" cm="1">
        <f t="array" ref="D70">IF(INDEX(tbl_Ledger[Invoice Number],ROWS($B$27:$B70))="","",INDEX(tbl_Ledger[Invoice Number],ROWS($B$27:$B70)))</f>
        <v>NHL-2026-0023</v>
      </c>
      <c r="E70" s="157" t="str" cm="1">
        <f t="array" ref="E70">INDEX(tbl_Ledger[Tax Category],ROWS($B$27:$B70))</f>
        <v>OUT_STD</v>
      </c>
      <c r="F70" s="157" t="str" cm="1">
        <f t="array" ref="F70">INDEX(tbl_Ledger[Direction],ROWS($B$27:$B70))</f>
        <v>Inflow</v>
      </c>
      <c r="G70" s="159" cm="1">
        <f t="array" ref="G70">INDEX(tbl_Ledger[Tax Charged on Invoice],ROWS($B$27:$B70))</f>
        <v>12594.6</v>
      </c>
      <c r="H70" s="159" cm="1">
        <f t="array" ref="H70">INDEX(tbl_Ledger[Expected Total Tax],ROWS($B$27:$B70))</f>
        <v>12594.6</v>
      </c>
      <c r="I70" s="159" t="str" cm="1">
        <f t="array" ref="I70">INDEX(tbl_Ledger[Description],ROWS($B$27:$B70))</f>
        <v>Bulk haulage of ATK, Tema-Bolgatanga, 9 trips</v>
      </c>
      <c r="J70" s="159" t="str" cm="1">
        <f t="array" ref="J70">INDEX(tbl_Ledger[Counterparty],ROWS($B$27:$B70))</f>
        <v>Keta Coastal Oils Ltd</v>
      </c>
      <c r="K70" s="160" t="str">
        <f>IF(COUNTIF(Dup_Exclusions,$E70)&gt;0,"No","Yes")</f>
        <v>Yes</v>
      </c>
      <c r="L70" s="161" t="str">
        <f>IF(AND($D70="",COUNTIF(NoInv_Exempt,$E70)=0),"Yes","No")</f>
        <v>No</v>
      </c>
      <c r="M70" s="161" t="str" cm="1">
        <f t="array" ref="M70">IF(AND($D70&lt;&gt;"",$K70="Yes"),IF(SUMPRODUCT((tbl_Ledger[Invoice Number]=$D70)*(COUNTIF(Dup_Exclusions,tbl_Ledger[Tax Category])=0))&gt;1,"Yes","No"),"No")</f>
        <v>No</v>
      </c>
      <c r="N70" s="161" t="str">
        <f>IF(ABS($G70-$H70)&gt;Tax_Tolerance,"Yes","No")</f>
        <v>No</v>
      </c>
      <c r="O70" s="161" t="str">
        <f>IF(OR(AND($F70="Inflow",LEFT($E70,LEN(Prefix_Outflow))=Prefix_Outflow),AND($F70="Outflow",LEFT($E70,LEN(Prefix_Inflow))=Prefix_Inflow)),"Yes","No")</f>
        <v>No</v>
      </c>
      <c r="P70" s="161" t="str" cm="1">
        <f t="array" ref="P70">IF(AND(COUNTIF(Suspect_Categories,$E70)&gt;0,SUMPRODUCT(--ISNUMBER(SEARCH(Suspect_Keywords,$I70&amp;" "&amp;$J70)))&gt;0),"Yes","No")</f>
        <v>No</v>
      </c>
      <c r="Q70" s="161" t="str">
        <f t="shared" si="0"/>
        <v>No</v>
      </c>
    </row>
    <row r="71" spans="1:17" x14ac:dyDescent="0.3">
      <c r="A71" s="11"/>
      <c r="B71" s="157" cm="1">
        <f t="array" ref="B71">INDEX(tbl_Ledger[Row ID],ROWS($B$27:$B71))</f>
        <v>45</v>
      </c>
      <c r="C71" s="158" cm="1">
        <f t="array" ref="C71">INDEX(tbl_Ledger[Date],ROWS($B$27:$B71))</f>
        <v>46056</v>
      </c>
      <c r="D71" s="157" t="str" cm="1">
        <f t="array" ref="D71">IF(INDEX(tbl_Ledger[Invoice Number],ROWS($B$27:$B71))="","",INDEX(tbl_Ledger[Invoice Number],ROWS($B$27:$B71)))</f>
        <v>NHL-2026-0024</v>
      </c>
      <c r="E71" s="157" t="str" cm="1">
        <f t="array" ref="E71">INDEX(tbl_Ledger[Tax Category],ROWS($B$27:$B71))</f>
        <v>OUT_STD</v>
      </c>
      <c r="F71" s="157" t="str" cm="1">
        <f t="array" ref="F71">INDEX(tbl_Ledger[Direction],ROWS($B$27:$B71))</f>
        <v>Inflow</v>
      </c>
      <c r="G71" s="159" cm="1">
        <f t="array" ref="G71">INDEX(tbl_Ledger[Tax Charged on Invoice],ROWS($B$27:$B71))</f>
        <v>12887</v>
      </c>
      <c r="H71" s="159" cm="1">
        <f t="array" ref="H71">INDEX(tbl_Ledger[Expected Total Tax],ROWS($B$27:$B71))</f>
        <v>12887</v>
      </c>
      <c r="I71" s="159" t="str" cm="1">
        <f t="array" ref="I71">INDEX(tbl_Ledger[Description],ROWS($B$27:$B71))</f>
        <v>Bulk haulage of LPG, Takoradi-Tamale, 9 trips</v>
      </c>
      <c r="J71" s="159" t="str" cm="1">
        <f t="array" ref="J71">INDEX(tbl_Ledger[Counterparty],ROWS($B$27:$B71))</f>
        <v>Tema Bulk Energy Ltd</v>
      </c>
      <c r="K71" s="160" t="str">
        <f>IF(COUNTIF(Dup_Exclusions,$E71)&gt;0,"No","Yes")</f>
        <v>Yes</v>
      </c>
      <c r="L71" s="161" t="str">
        <f>IF(AND($D71="",COUNTIF(NoInv_Exempt,$E71)=0),"Yes","No")</f>
        <v>No</v>
      </c>
      <c r="M71" s="161" t="str" cm="1">
        <f t="array" ref="M71">IF(AND($D71&lt;&gt;"",$K71="Yes"),IF(SUMPRODUCT((tbl_Ledger[Invoice Number]=$D71)*(COUNTIF(Dup_Exclusions,tbl_Ledger[Tax Category])=0))&gt;1,"Yes","No"),"No")</f>
        <v>No</v>
      </c>
      <c r="N71" s="161" t="str">
        <f>IF(ABS($G71-$H71)&gt;Tax_Tolerance,"Yes","No")</f>
        <v>No</v>
      </c>
      <c r="O71" s="161" t="str">
        <f>IF(OR(AND($F71="Inflow",LEFT($E71,LEN(Prefix_Outflow))=Prefix_Outflow),AND($F71="Outflow",LEFT($E71,LEN(Prefix_Inflow))=Prefix_Inflow)),"Yes","No")</f>
        <v>No</v>
      </c>
      <c r="P71" s="161" t="str" cm="1">
        <f t="array" ref="P71">IF(AND(COUNTIF(Suspect_Categories,$E71)&gt;0,SUMPRODUCT(--ISNUMBER(SEARCH(Suspect_Keywords,$I71&amp;" "&amp;$J71)))&gt;0),"Yes","No")</f>
        <v>No</v>
      </c>
      <c r="Q71" s="161" t="str">
        <f t="shared" si="0"/>
        <v>No</v>
      </c>
    </row>
    <row r="72" spans="1:17" x14ac:dyDescent="0.3">
      <c r="A72" s="11"/>
      <c r="B72" s="157" cm="1">
        <f t="array" ref="B72">INDEX(tbl_Ledger[Row ID],ROWS($B$27:$B72))</f>
        <v>46</v>
      </c>
      <c r="C72" s="158" cm="1">
        <f t="array" ref="C72">INDEX(tbl_Ledger[Date],ROWS($B$27:$B72))</f>
        <v>46058</v>
      </c>
      <c r="D72" s="157" t="str" cm="1">
        <f t="array" ref="D72">IF(INDEX(tbl_Ledger[Invoice Number],ROWS($B$27:$B72))="","",INDEX(tbl_Ledger[Invoice Number],ROWS($B$27:$B72)))</f>
        <v>NHL-2026-0025</v>
      </c>
      <c r="E72" s="157" t="str" cm="1">
        <f t="array" ref="E72">INDEX(tbl_Ledger[Tax Category],ROWS($B$27:$B72))</f>
        <v>WHT_SVC</v>
      </c>
      <c r="F72" s="157" t="str" cm="1">
        <f t="array" ref="F72">INDEX(tbl_Ledger[Direction],ROWS($B$27:$B72))</f>
        <v>Inflow</v>
      </c>
      <c r="G72" s="159" cm="1">
        <f t="array" ref="G72">INDEX(tbl_Ledger[Tax Charged on Invoice],ROWS($B$27:$B72))</f>
        <v>16012.2</v>
      </c>
      <c r="H72" s="159" cm="1">
        <f t="array" ref="H72">INDEX(tbl_Ledger[Expected Total Tax],ROWS($B$27:$B72))</f>
        <v>16012.199999999999</v>
      </c>
      <c r="I72" s="159" t="str" cm="1">
        <f t="array" ref="I72">INDEX(tbl_Ledger[Description],ROWS($B$27:$B72))</f>
        <v>Contract haulage of AGO, Tema-Bolgatanga; customer withheld income tax at 7.5% on the service fee</v>
      </c>
      <c r="J72" s="159" t="str" cm="1">
        <f t="array" ref="J72">INDEX(tbl_Ledger[Counterparty],ROWS($B$27:$B72))</f>
        <v>Adinkra Oil Marketing Ltd</v>
      </c>
      <c r="K72" s="160" t="str">
        <f>IF(COUNTIF(Dup_Exclusions,$E72)&gt;0,"No","Yes")</f>
        <v>Yes</v>
      </c>
      <c r="L72" s="161" t="str">
        <f>IF(AND($D72="",COUNTIF(NoInv_Exempt,$E72)=0),"Yes","No")</f>
        <v>No</v>
      </c>
      <c r="M72" s="161" t="str" cm="1">
        <f t="array" ref="M72">IF(AND($D72&lt;&gt;"",$K72="Yes"),IF(SUMPRODUCT((tbl_Ledger[Invoice Number]=$D72)*(COUNTIF(Dup_Exclusions,tbl_Ledger[Tax Category])=0))&gt;1,"Yes","No"),"No")</f>
        <v>No</v>
      </c>
      <c r="N72" s="161" t="str">
        <f>IF(ABS($G72-$H72)&gt;Tax_Tolerance,"Yes","No")</f>
        <v>No</v>
      </c>
      <c r="O72" s="161" t="str">
        <f>IF(OR(AND($F72="Inflow",LEFT($E72,LEN(Prefix_Outflow))=Prefix_Outflow),AND($F72="Outflow",LEFT($E72,LEN(Prefix_Inflow))=Prefix_Inflow)),"Yes","No")</f>
        <v>No</v>
      </c>
      <c r="P72" s="161" t="str" cm="1">
        <f t="array" ref="P72">IF(AND(COUNTIF(Suspect_Categories,$E72)&gt;0,SUMPRODUCT(--ISNUMBER(SEARCH(Suspect_Keywords,$I72&amp;" "&amp;$J72)))&gt;0),"Yes","No")</f>
        <v>No</v>
      </c>
      <c r="Q72" s="161" t="str">
        <f t="shared" si="0"/>
        <v>No</v>
      </c>
    </row>
    <row r="73" spans="1:17" x14ac:dyDescent="0.3">
      <c r="A73" s="11"/>
      <c r="B73" s="157" cm="1">
        <f t="array" ref="B73">INDEX(tbl_Ledger[Row ID],ROWS($B$27:$B73))</f>
        <v>47</v>
      </c>
      <c r="C73" s="158" cm="1">
        <f t="array" ref="C73">INDEX(tbl_Ledger[Date],ROWS($B$27:$B73))</f>
        <v>46059</v>
      </c>
      <c r="D73" s="157" t="str" cm="1">
        <f t="array" ref="D73">IF(INDEX(tbl_Ledger[Invoice Number],ROWS($B$27:$B73))="","",INDEX(tbl_Ledger[Invoice Number],ROWS($B$27:$B73)))</f>
        <v>BNK-2026-0003</v>
      </c>
      <c r="E73" s="157" t="str" cm="1">
        <f t="array" ref="E73">INDEX(tbl_Ledger[Tax Category],ROWS($B$27:$B73))</f>
        <v>IN_EXEMPT</v>
      </c>
      <c r="F73" s="157" t="str" cm="1">
        <f t="array" ref="F73">INDEX(tbl_Ledger[Direction],ROWS($B$27:$B73))</f>
        <v>Outflow</v>
      </c>
      <c r="G73" s="159" cm="1">
        <f t="array" ref="G73">INDEX(tbl_Ledger[Tax Charged on Invoice],ROWS($B$27:$B73))</f>
        <v>0</v>
      </c>
      <c r="H73" s="159" cm="1">
        <f t="array" ref="H73">INDEX(tbl_Ledger[Expected Total Tax],ROWS($B$27:$B73))</f>
        <v>0</v>
      </c>
      <c r="I73" s="159" t="str" cm="1">
        <f t="array" ref="I73">INDEX(tbl_Ledger[Description],ROWS($B$27:$B73))</f>
        <v>Bank charges and account maintenance</v>
      </c>
      <c r="J73" s="159" t="str" cm="1">
        <f t="array" ref="J73">INDEX(tbl_Ledger[Counterparty],ROWS($B$27:$B73))</f>
        <v>Trust Union Bank Ltd</v>
      </c>
      <c r="K73" s="160" t="str">
        <f>IF(COUNTIF(Dup_Exclusions,$E73)&gt;0,"No","Yes")</f>
        <v>Yes</v>
      </c>
      <c r="L73" s="161" t="str">
        <f>IF(AND($D73="",COUNTIF(NoInv_Exempt,$E73)=0),"Yes","No")</f>
        <v>No</v>
      </c>
      <c r="M73" s="161" t="str" cm="1">
        <f t="array" ref="M73">IF(AND($D73&lt;&gt;"",$K73="Yes"),IF(SUMPRODUCT((tbl_Ledger[Invoice Number]=$D73)*(COUNTIF(Dup_Exclusions,tbl_Ledger[Tax Category])=0))&gt;1,"Yes","No"),"No")</f>
        <v>No</v>
      </c>
      <c r="N73" s="161" t="str">
        <f>IF(ABS($G73-$H73)&gt;Tax_Tolerance,"Yes","No")</f>
        <v>No</v>
      </c>
      <c r="O73" s="161" t="str">
        <f>IF(OR(AND($F73="Inflow",LEFT($E73,LEN(Prefix_Outflow))=Prefix_Outflow),AND($F73="Outflow",LEFT($E73,LEN(Prefix_Inflow))=Prefix_Inflow)),"Yes","No")</f>
        <v>No</v>
      </c>
      <c r="P73" s="161" t="str" cm="1">
        <f t="array" ref="P73">IF(AND(COUNTIF(Suspect_Categories,$E73)&gt;0,SUMPRODUCT(--ISNUMBER(SEARCH(Suspect_Keywords,$I73&amp;" "&amp;$J73)))&gt;0),"Yes","No")</f>
        <v>No</v>
      </c>
      <c r="Q73" s="161" t="str">
        <f t="shared" si="0"/>
        <v>No</v>
      </c>
    </row>
    <row r="74" spans="1:17" x14ac:dyDescent="0.3">
      <c r="A74" s="11"/>
      <c r="B74" s="157" cm="1">
        <f t="array" ref="B74">INDEX(tbl_Ledger[Row ID],ROWS($B$27:$B74))</f>
        <v>48</v>
      </c>
      <c r="C74" s="158" cm="1">
        <f t="array" ref="C74">INDEX(tbl_Ledger[Date],ROWS($B$27:$B74))</f>
        <v>46059</v>
      </c>
      <c r="D74" s="157" t="str" cm="1">
        <f t="array" ref="D74">IF(INDEX(tbl_Ledger[Invoice Number],ROWS($B$27:$B74))="","",INDEX(tbl_Ledger[Invoice Number],ROWS($B$27:$B74)))</f>
        <v>SIN-2026-0016</v>
      </c>
      <c r="E74" s="157" t="str" cm="1">
        <f t="array" ref="E74">INDEX(tbl_Ledger[Tax Category],ROWS($B$27:$B74))</f>
        <v>IN_EXEMPT</v>
      </c>
      <c r="F74" s="157" t="str" cm="1">
        <f t="array" ref="F74">INDEX(tbl_Ledger[Direction],ROWS($B$27:$B74))</f>
        <v>Outflow</v>
      </c>
      <c r="G74" s="159" cm="1">
        <f t="array" ref="G74">INDEX(tbl_Ledger[Tax Charged on Invoice],ROWS($B$27:$B74))</f>
        <v>0</v>
      </c>
      <c r="H74" s="159" cm="1">
        <f t="array" ref="H74">INDEX(tbl_Ledger[Expected Total Tax],ROWS($B$27:$B74))</f>
        <v>0</v>
      </c>
      <c r="I74" s="159" t="str" cm="1">
        <f t="array" ref="I74">INDEX(tbl_Ledger[Description],ROWS($B$27:$B74))</f>
        <v>Diesel (AGO) purchased for own fleet use, 19,434 litres</v>
      </c>
      <c r="J74" s="159" t="str" cm="1">
        <f t="array" ref="J74">INDEX(tbl_Ledger[Counterparty],ROWS($B$27:$B74))</f>
        <v>Zenith Fuel Depot Ltd</v>
      </c>
      <c r="K74" s="160" t="str">
        <f>IF(COUNTIF(Dup_Exclusions,$E74)&gt;0,"No","Yes")</f>
        <v>Yes</v>
      </c>
      <c r="L74" s="161" t="str">
        <f>IF(AND($D74="",COUNTIF(NoInv_Exempt,$E74)=0),"Yes","No")</f>
        <v>No</v>
      </c>
      <c r="M74" s="161" t="str" cm="1">
        <f t="array" ref="M74">IF(AND($D74&lt;&gt;"",$K74="Yes"),IF(SUMPRODUCT((tbl_Ledger[Invoice Number]=$D74)*(COUNTIF(Dup_Exclusions,tbl_Ledger[Tax Category])=0))&gt;1,"Yes","No"),"No")</f>
        <v>No</v>
      </c>
      <c r="N74" s="161" t="str">
        <f>IF(ABS($G74-$H74)&gt;Tax_Tolerance,"Yes","No")</f>
        <v>No</v>
      </c>
      <c r="O74" s="161" t="str">
        <f>IF(OR(AND($F74="Inflow",LEFT($E74,LEN(Prefix_Outflow))=Prefix_Outflow),AND($F74="Outflow",LEFT($E74,LEN(Prefix_Inflow))=Prefix_Inflow)),"Yes","No")</f>
        <v>No</v>
      </c>
      <c r="P74" s="161" t="str" cm="1">
        <f t="array" ref="P74">IF(AND(COUNTIF(Suspect_Categories,$E74)&gt;0,SUMPRODUCT(--ISNUMBER(SEARCH(Suspect_Keywords,$I74&amp;" "&amp;$J74)))&gt;0),"Yes","No")</f>
        <v>No</v>
      </c>
      <c r="Q74" s="161" t="str">
        <f t="shared" si="0"/>
        <v>No</v>
      </c>
    </row>
    <row r="75" spans="1:17" x14ac:dyDescent="0.3">
      <c r="A75" s="11"/>
      <c r="B75" s="157" cm="1">
        <f t="array" ref="B75">INDEX(tbl_Ledger[Row ID],ROWS($B$27:$B75))</f>
        <v>49</v>
      </c>
      <c r="C75" s="158" cm="1">
        <f t="array" ref="C75">INDEX(tbl_Ledger[Date],ROWS($B$27:$B75))</f>
        <v>46060</v>
      </c>
      <c r="D75" s="157" t="str" cm="1">
        <f t="array" ref="D75">IF(INDEX(tbl_Ledger[Invoice Number],ROWS($B$27:$B75))="","",INDEX(tbl_Ledger[Invoice Number],ROWS($B$27:$B75)))</f>
        <v>SIN-2026-0017</v>
      </c>
      <c r="E75" s="157" t="str" cm="1">
        <f t="array" ref="E75">INDEX(tbl_Ledger[Tax Category],ROWS($B$27:$B75))</f>
        <v>IN_EXEMPT</v>
      </c>
      <c r="F75" s="157" t="str" cm="1">
        <f t="array" ref="F75">INDEX(tbl_Ledger[Direction],ROWS($B$27:$B75))</f>
        <v>Outflow</v>
      </c>
      <c r="G75" s="159" cm="1">
        <f t="array" ref="G75">INDEX(tbl_Ledger[Tax Charged on Invoice],ROWS($B$27:$B75))</f>
        <v>0</v>
      </c>
      <c r="H75" s="159" cm="1">
        <f t="array" ref="H75">INDEX(tbl_Ledger[Expected Total Tax],ROWS($B$27:$B75))</f>
        <v>0</v>
      </c>
      <c r="I75" s="159" t="str" cm="1">
        <f t="array" ref="I75">INDEX(tbl_Ledger[Description],ROWS($B$27:$B75))</f>
        <v>Diesel (AGO) purchased for own fleet use, 14,001 litres</v>
      </c>
      <c r="J75" s="159" t="str" cm="1">
        <f t="array" ref="J75">INDEX(tbl_Ledger[Counterparty],ROWS($B$27:$B75))</f>
        <v>Zenith Fuel Depot Ltd</v>
      </c>
      <c r="K75" s="160" t="str">
        <f>IF(COUNTIF(Dup_Exclusions,$E75)&gt;0,"No","Yes")</f>
        <v>Yes</v>
      </c>
      <c r="L75" s="161" t="str">
        <f>IF(AND($D75="",COUNTIF(NoInv_Exempt,$E75)=0),"Yes","No")</f>
        <v>No</v>
      </c>
      <c r="M75" s="161" t="str" cm="1">
        <f t="array" ref="M75">IF(AND($D75&lt;&gt;"",$K75="Yes"),IF(SUMPRODUCT((tbl_Ledger[Invoice Number]=$D75)*(COUNTIF(Dup_Exclusions,tbl_Ledger[Tax Category])=0))&gt;1,"Yes","No"),"No")</f>
        <v>No</v>
      </c>
      <c r="N75" s="161" t="str">
        <f>IF(ABS($G75-$H75)&gt;Tax_Tolerance,"Yes","No")</f>
        <v>No</v>
      </c>
      <c r="O75" s="161" t="str">
        <f>IF(OR(AND($F75="Inflow",LEFT($E75,LEN(Prefix_Outflow))=Prefix_Outflow),AND($F75="Outflow",LEFT($E75,LEN(Prefix_Inflow))=Prefix_Inflow)),"Yes","No")</f>
        <v>No</v>
      </c>
      <c r="P75" s="161" t="str" cm="1">
        <f t="array" ref="P75">IF(AND(COUNTIF(Suspect_Categories,$E75)&gt;0,SUMPRODUCT(--ISNUMBER(SEARCH(Suspect_Keywords,$I75&amp;" "&amp;$J75)))&gt;0),"Yes","No")</f>
        <v>No</v>
      </c>
      <c r="Q75" s="161" t="str">
        <f t="shared" si="0"/>
        <v>No</v>
      </c>
    </row>
    <row r="76" spans="1:17" x14ac:dyDescent="0.3">
      <c r="A76" s="11"/>
      <c r="B76" s="157" cm="1">
        <f t="array" ref="B76">INDEX(tbl_Ledger[Row ID],ROWS($B$27:$B76))</f>
        <v>50</v>
      </c>
      <c r="C76" s="158" cm="1">
        <f t="array" ref="C76">INDEX(tbl_Ledger[Date],ROWS($B$27:$B76))</f>
        <v>46061</v>
      </c>
      <c r="D76" s="157" t="str" cm="1">
        <f t="array" ref="D76">IF(INDEX(tbl_Ledger[Invoice Number],ROWS($B$27:$B76))="","",INDEX(tbl_Ledger[Invoice Number],ROWS($B$27:$B76)))</f>
        <v>SIN-2026-0018</v>
      </c>
      <c r="E76" s="157" t="str" cm="1">
        <f t="array" ref="E76">INDEX(tbl_Ledger[Tax Category],ROWS($B$27:$B76))</f>
        <v>IN_STD</v>
      </c>
      <c r="F76" s="157" t="str" cm="1">
        <f t="array" ref="F76">INDEX(tbl_Ledger[Direction],ROWS($B$27:$B76))</f>
        <v>Outflow</v>
      </c>
      <c r="G76" s="159" cm="1">
        <f t="array" ref="G76">INDEX(tbl_Ledger[Tax Charged on Invoice],ROWS($B$27:$B76))</f>
        <v>4599</v>
      </c>
      <c r="H76" s="159" cm="1">
        <f t="array" ref="H76">INDEX(tbl_Ledger[Expected Total Tax],ROWS($B$27:$B76))</f>
        <v>4599</v>
      </c>
      <c r="I76" s="159" t="str" cm="1">
        <f t="array" ref="I76">INDEX(tbl_Ledger[Description],ROWS($B$27:$B76))</f>
        <v>Truck spare parts and filters</v>
      </c>
      <c r="J76" s="159" t="str" cm="1">
        <f t="array" ref="J76">INDEX(tbl_Ledger[Counterparty],ROWS($B$27:$B76))</f>
        <v>Sahara Fleet Services Ltd</v>
      </c>
      <c r="K76" s="160" t="str">
        <f>IF(COUNTIF(Dup_Exclusions,$E76)&gt;0,"No","Yes")</f>
        <v>Yes</v>
      </c>
      <c r="L76" s="161" t="str">
        <f>IF(AND($D76="",COUNTIF(NoInv_Exempt,$E76)=0),"Yes","No")</f>
        <v>No</v>
      </c>
      <c r="M76" s="161" t="str" cm="1">
        <f t="array" ref="M76">IF(AND($D76&lt;&gt;"",$K76="Yes"),IF(SUMPRODUCT((tbl_Ledger[Invoice Number]=$D76)*(COUNTIF(Dup_Exclusions,tbl_Ledger[Tax Category])=0))&gt;1,"Yes","No"),"No")</f>
        <v>No</v>
      </c>
      <c r="N76" s="161" t="str">
        <f>IF(ABS($G76-$H76)&gt;Tax_Tolerance,"Yes","No")</f>
        <v>No</v>
      </c>
      <c r="O76" s="161" t="str">
        <f>IF(OR(AND($F76="Inflow",LEFT($E76,LEN(Prefix_Outflow))=Prefix_Outflow),AND($F76="Outflow",LEFT($E76,LEN(Prefix_Inflow))=Prefix_Inflow)),"Yes","No")</f>
        <v>No</v>
      </c>
      <c r="P76" s="161" t="str" cm="1">
        <f t="array" ref="P76">IF(AND(COUNTIF(Suspect_Categories,$E76)&gt;0,SUMPRODUCT(--ISNUMBER(SEARCH(Suspect_Keywords,$I76&amp;" "&amp;$J76)))&gt;0),"Yes","No")</f>
        <v>No</v>
      </c>
      <c r="Q76" s="161" t="str">
        <f t="shared" si="0"/>
        <v>No</v>
      </c>
    </row>
    <row r="77" spans="1:17" x14ac:dyDescent="0.3">
      <c r="A77" s="11"/>
      <c r="B77" s="157" cm="1">
        <f t="array" ref="B77">INDEX(tbl_Ledger[Row ID],ROWS($B$27:$B77))</f>
        <v>51</v>
      </c>
      <c r="C77" s="158" cm="1">
        <f t="array" ref="C77">INDEX(tbl_Ledger[Date],ROWS($B$27:$B77))</f>
        <v>46061</v>
      </c>
      <c r="D77" s="157" t="str" cm="1">
        <f t="array" ref="D77">IF(INDEX(tbl_Ledger[Invoice Number],ROWS($B$27:$B77))="","",INDEX(tbl_Ledger[Invoice Number],ROWS($B$27:$B77)))</f>
        <v>NHL-2026-0026</v>
      </c>
      <c r="E77" s="157" t="str" cm="1">
        <f t="array" ref="E77">INDEX(tbl_Ledger[Tax Category],ROWS($B$27:$B77))</f>
        <v>OUT_STD</v>
      </c>
      <c r="F77" s="157" t="str" cm="1">
        <f t="array" ref="F77">INDEX(tbl_Ledger[Direction],ROWS($B$27:$B77))</f>
        <v>Inflow</v>
      </c>
      <c r="G77" s="159" cm="1">
        <f t="array" ref="G77">INDEX(tbl_Ledger[Tax Charged on Invoice],ROWS($B$27:$B77))</f>
        <v>10132.6</v>
      </c>
      <c r="H77" s="159" cm="1">
        <f t="array" ref="H77">INDEX(tbl_Ledger[Expected Total Tax],ROWS($B$27:$B77))</f>
        <v>10132.6</v>
      </c>
      <c r="I77" s="159" t="str" cm="1">
        <f t="array" ref="I77">INDEX(tbl_Ledger[Description],ROWS($B$27:$B77))</f>
        <v>Bulk haulage of PMS, Tema-Ho, 4 trips</v>
      </c>
      <c r="J77" s="159" t="str" cm="1">
        <f t="array" ref="J77">INDEX(tbl_Ledger[Counterparty],ROWS($B$27:$B77))</f>
        <v>Keta Coastal Oils Ltd</v>
      </c>
      <c r="K77" s="160" t="str">
        <f>IF(COUNTIF(Dup_Exclusions,$E77)&gt;0,"No","Yes")</f>
        <v>Yes</v>
      </c>
      <c r="L77" s="161" t="str">
        <f>IF(AND($D77="",COUNTIF(NoInv_Exempt,$E77)=0),"Yes","No")</f>
        <v>No</v>
      </c>
      <c r="M77" s="161" t="str" cm="1">
        <f t="array" ref="M77">IF(AND($D77&lt;&gt;"",$K77="Yes"),IF(SUMPRODUCT((tbl_Ledger[Invoice Number]=$D77)*(COUNTIF(Dup_Exclusions,tbl_Ledger[Tax Category])=0))&gt;1,"Yes","No"),"No")</f>
        <v>No</v>
      </c>
      <c r="N77" s="161" t="str">
        <f>IF(ABS($G77-$H77)&gt;Tax_Tolerance,"Yes","No")</f>
        <v>No</v>
      </c>
      <c r="O77" s="161" t="str">
        <f>IF(OR(AND($F77="Inflow",LEFT($E77,LEN(Prefix_Outflow))=Prefix_Outflow),AND($F77="Outflow",LEFT($E77,LEN(Prefix_Inflow))=Prefix_Inflow)),"Yes","No")</f>
        <v>No</v>
      </c>
      <c r="P77" s="161" t="str" cm="1">
        <f t="array" ref="P77">IF(AND(COUNTIF(Suspect_Categories,$E77)&gt;0,SUMPRODUCT(--ISNUMBER(SEARCH(Suspect_Keywords,$I77&amp;" "&amp;$J77)))&gt;0),"Yes","No")</f>
        <v>No</v>
      </c>
      <c r="Q77" s="161" t="str">
        <f t="shared" si="0"/>
        <v>No</v>
      </c>
    </row>
    <row r="78" spans="1:17" x14ac:dyDescent="0.3">
      <c r="A78" s="11"/>
      <c r="B78" s="157" cm="1">
        <f t="array" ref="B78">INDEX(tbl_Ledger[Row ID],ROWS($B$27:$B78))</f>
        <v>52</v>
      </c>
      <c r="C78" s="158" cm="1">
        <f t="array" ref="C78">INDEX(tbl_Ledger[Date],ROWS($B$27:$B78))</f>
        <v>46062</v>
      </c>
      <c r="D78" s="157" t="str" cm="1">
        <f t="array" ref="D78">IF(INDEX(tbl_Ledger[Invoice Number],ROWS($B$27:$B78))="","",INDEX(tbl_Ledger[Invoice Number],ROWS($B$27:$B78)))</f>
        <v>SIN-2026-0019</v>
      </c>
      <c r="E78" s="157" t="str" cm="1">
        <f t="array" ref="E78">INDEX(tbl_Ledger[Tax Category],ROWS($B$27:$B78))</f>
        <v>IN_EXEMPT</v>
      </c>
      <c r="F78" s="157" t="str" cm="1">
        <f t="array" ref="F78">INDEX(tbl_Ledger[Direction],ROWS($B$27:$B78))</f>
        <v>Outflow</v>
      </c>
      <c r="G78" s="159" cm="1">
        <f t="array" ref="G78">INDEX(tbl_Ledger[Tax Charged on Invoice],ROWS($B$27:$B78))</f>
        <v>0</v>
      </c>
      <c r="H78" s="159" cm="1">
        <f t="array" ref="H78">INDEX(tbl_Ledger[Expected Total Tax],ROWS($B$27:$B78))</f>
        <v>0</v>
      </c>
      <c r="I78" s="159" t="str" cm="1">
        <f t="array" ref="I78">INDEX(tbl_Ledger[Description],ROWS($B$27:$B78))</f>
        <v>Diesel (AGO) purchased for own fleet use, 8,451 litres</v>
      </c>
      <c r="J78" s="159" t="str" cm="1">
        <f t="array" ref="J78">INDEX(tbl_Ledger[Counterparty],ROWS($B$27:$B78))</f>
        <v>Zenith Fuel Depot Ltd</v>
      </c>
      <c r="K78" s="160" t="str">
        <f>IF(COUNTIF(Dup_Exclusions,$E78)&gt;0,"No","Yes")</f>
        <v>Yes</v>
      </c>
      <c r="L78" s="161" t="str">
        <f>IF(AND($D78="",COUNTIF(NoInv_Exempt,$E78)=0),"Yes","No")</f>
        <v>No</v>
      </c>
      <c r="M78" s="161" t="str" cm="1">
        <f t="array" ref="M78">IF(AND($D78&lt;&gt;"",$K78="Yes"),IF(SUMPRODUCT((tbl_Ledger[Invoice Number]=$D78)*(COUNTIF(Dup_Exclusions,tbl_Ledger[Tax Category])=0))&gt;1,"Yes","No"),"No")</f>
        <v>No</v>
      </c>
      <c r="N78" s="161" t="str">
        <f>IF(ABS($G78-$H78)&gt;Tax_Tolerance,"Yes","No")</f>
        <v>No</v>
      </c>
      <c r="O78" s="161" t="str">
        <f>IF(OR(AND($F78="Inflow",LEFT($E78,LEN(Prefix_Outflow))=Prefix_Outflow),AND($F78="Outflow",LEFT($E78,LEN(Prefix_Inflow))=Prefix_Inflow)),"Yes","No")</f>
        <v>No</v>
      </c>
      <c r="P78" s="161" t="str" cm="1">
        <f t="array" ref="P78">IF(AND(COUNTIF(Suspect_Categories,$E78)&gt;0,SUMPRODUCT(--ISNUMBER(SEARCH(Suspect_Keywords,$I78&amp;" "&amp;$J78)))&gt;0),"Yes","No")</f>
        <v>No</v>
      </c>
      <c r="Q78" s="161" t="str">
        <f t="shared" si="0"/>
        <v>No</v>
      </c>
    </row>
    <row r="79" spans="1:17" x14ac:dyDescent="0.3">
      <c r="A79" s="11"/>
      <c r="B79" s="157" cm="1">
        <f t="array" ref="B79">INDEX(tbl_Ledger[Row ID],ROWS($B$27:$B79))</f>
        <v>53</v>
      </c>
      <c r="C79" s="158" cm="1">
        <f t="array" ref="C79">INDEX(tbl_Ledger[Date],ROWS($B$27:$B79))</f>
        <v>46062</v>
      </c>
      <c r="D79" s="157" t="str" cm="1">
        <f t="array" ref="D79">IF(INDEX(tbl_Ledger[Invoice Number],ROWS($B$27:$B79))="","",INDEX(tbl_Ledger[Invoice Number],ROWS($B$27:$B79)))</f>
        <v>SIN-2026-0020</v>
      </c>
      <c r="E79" s="157" t="str" cm="1">
        <f t="array" ref="E79">INDEX(tbl_Ledger[Tax Category],ROWS($B$27:$B79))</f>
        <v>IN_NONDED</v>
      </c>
      <c r="F79" s="157" t="str" cm="1">
        <f t="array" ref="F79">INDEX(tbl_Ledger[Direction],ROWS($B$27:$B79))</f>
        <v>Outflow</v>
      </c>
      <c r="G79" s="159" cm="1">
        <f t="array" ref="G79">INDEX(tbl_Ledger[Tax Charged on Invoice],ROWS($B$27:$B79))</f>
        <v>364.4</v>
      </c>
      <c r="H79" s="159" cm="1">
        <f t="array" ref="H79">INDEX(tbl_Ledger[Expected Total Tax],ROWS($B$27:$B79))</f>
        <v>364.40000000000003</v>
      </c>
      <c r="I79" s="159" t="str" cm="1">
        <f t="array" ref="I79">INDEX(tbl_Ledger[Description],ROWS($B$27:$B79))</f>
        <v>Year-end staff function</v>
      </c>
      <c r="J79" s="159" t="str" cm="1">
        <f t="array" ref="J79">INDEX(tbl_Ledger[Counterparty],ROWS($B$27:$B79))</f>
        <v>Labadi Grill House Ltd</v>
      </c>
      <c r="K79" s="160" t="str">
        <f>IF(COUNTIF(Dup_Exclusions,$E79)&gt;0,"No","Yes")</f>
        <v>Yes</v>
      </c>
      <c r="L79" s="161" t="str">
        <f>IF(AND($D79="",COUNTIF(NoInv_Exempt,$E79)=0),"Yes","No")</f>
        <v>No</v>
      </c>
      <c r="M79" s="161" t="str" cm="1">
        <f t="array" ref="M79">IF(AND($D79&lt;&gt;"",$K79="Yes"),IF(SUMPRODUCT((tbl_Ledger[Invoice Number]=$D79)*(COUNTIF(Dup_Exclusions,tbl_Ledger[Tax Category])=0))&gt;1,"Yes","No"),"No")</f>
        <v>No</v>
      </c>
      <c r="N79" s="161" t="str">
        <f>IF(ABS($G79-$H79)&gt;Tax_Tolerance,"Yes","No")</f>
        <v>No</v>
      </c>
      <c r="O79" s="161" t="str">
        <f>IF(OR(AND($F79="Inflow",LEFT($E79,LEN(Prefix_Outflow))=Prefix_Outflow),AND($F79="Outflow",LEFT($E79,LEN(Prefix_Inflow))=Prefix_Inflow)),"Yes","No")</f>
        <v>No</v>
      </c>
      <c r="P79" s="161" t="str" cm="1">
        <f t="array" ref="P79">IF(AND(COUNTIF(Suspect_Categories,$E79)&gt;0,SUMPRODUCT(--ISNUMBER(SEARCH(Suspect_Keywords,$I79&amp;" "&amp;$J79)))&gt;0),"Yes","No")</f>
        <v>No</v>
      </c>
      <c r="Q79" s="161" t="str">
        <f t="shared" si="0"/>
        <v>No</v>
      </c>
    </row>
    <row r="80" spans="1:17" x14ac:dyDescent="0.3">
      <c r="A80" s="11"/>
      <c r="B80" s="157" cm="1">
        <f t="array" ref="B80">INDEX(tbl_Ledger[Row ID],ROWS($B$27:$B80))</f>
        <v>54</v>
      </c>
      <c r="C80" s="158" cm="1">
        <f t="array" ref="C80">INDEX(tbl_Ledger[Date],ROWS($B$27:$B80))</f>
        <v>46062</v>
      </c>
      <c r="D80" s="157" t="str" cm="1">
        <f t="array" ref="D80">IF(INDEX(tbl_Ledger[Invoice Number],ROWS($B$27:$B80))="","",INDEX(tbl_Ledger[Invoice Number],ROWS($B$27:$B80)))</f>
        <v>NHL-2026-0027</v>
      </c>
      <c r="E80" s="157" t="str" cm="1">
        <f t="array" ref="E80">INDEX(tbl_Ledger[Tax Category],ROWS($B$27:$B80))</f>
        <v>OUT_STD</v>
      </c>
      <c r="F80" s="157" t="str" cm="1">
        <f t="array" ref="F80">INDEX(tbl_Ledger[Direction],ROWS($B$27:$B80))</f>
        <v>Inflow</v>
      </c>
      <c r="G80" s="159" cm="1">
        <f t="array" ref="G80">INDEX(tbl_Ledger[Tax Charged on Invoice],ROWS($B$27:$B80))</f>
        <v>3171.8</v>
      </c>
      <c r="H80" s="159" cm="1">
        <f t="array" ref="H80">INDEX(tbl_Ledger[Expected Total Tax],ROWS($B$27:$B80))</f>
        <v>3171.7999999999997</v>
      </c>
      <c r="I80" s="159" t="str" cm="1">
        <f t="array" ref="I80">INDEX(tbl_Ledger[Description],ROWS($B$27:$B80))</f>
        <v>Bulk haulage of AGO, Takoradi-Wa, 3 trips</v>
      </c>
      <c r="J80" s="159" t="str" cm="1">
        <f t="array" ref="J80">INDEX(tbl_Ledger[Counterparty],ROWS($B$27:$B80))</f>
        <v>Keta Coastal Oils Ltd</v>
      </c>
      <c r="K80" s="160" t="str">
        <f>IF(COUNTIF(Dup_Exclusions,$E80)&gt;0,"No","Yes")</f>
        <v>Yes</v>
      </c>
      <c r="L80" s="161" t="str">
        <f>IF(AND($D80="",COUNTIF(NoInv_Exempt,$E80)=0),"Yes","No")</f>
        <v>No</v>
      </c>
      <c r="M80" s="161" t="str" cm="1">
        <f t="array" ref="M80">IF(AND($D80&lt;&gt;"",$K80="Yes"),IF(SUMPRODUCT((tbl_Ledger[Invoice Number]=$D80)*(COUNTIF(Dup_Exclusions,tbl_Ledger[Tax Category])=0))&gt;1,"Yes","No"),"No")</f>
        <v>No</v>
      </c>
      <c r="N80" s="161" t="str">
        <f>IF(ABS($G80-$H80)&gt;Tax_Tolerance,"Yes","No")</f>
        <v>No</v>
      </c>
      <c r="O80" s="161" t="str">
        <f>IF(OR(AND($F80="Inflow",LEFT($E80,LEN(Prefix_Outflow))=Prefix_Outflow),AND($F80="Outflow",LEFT($E80,LEN(Prefix_Inflow))=Prefix_Inflow)),"Yes","No")</f>
        <v>No</v>
      </c>
      <c r="P80" s="161" t="str" cm="1">
        <f t="array" ref="P80">IF(AND(COUNTIF(Suspect_Categories,$E80)&gt;0,SUMPRODUCT(--ISNUMBER(SEARCH(Suspect_Keywords,$I80&amp;" "&amp;$J80)))&gt;0),"Yes","No")</f>
        <v>No</v>
      </c>
      <c r="Q80" s="161" t="str">
        <f t="shared" si="0"/>
        <v>No</v>
      </c>
    </row>
    <row r="81" spans="1:17" x14ac:dyDescent="0.3">
      <c r="A81" s="11"/>
      <c r="B81" s="157" cm="1">
        <f t="array" ref="B81">INDEX(tbl_Ledger[Row ID],ROWS($B$27:$B81))</f>
        <v>55</v>
      </c>
      <c r="C81" s="158" cm="1">
        <f t="array" ref="C81">INDEX(tbl_Ledger[Date],ROWS($B$27:$B81))</f>
        <v>46063</v>
      </c>
      <c r="D81" s="157" t="str" cm="1">
        <f t="array" ref="D81">IF(INDEX(tbl_Ledger[Invoice Number],ROWS($B$27:$B81))="","",INDEX(tbl_Ledger[Invoice Number],ROWS($B$27:$B81)))</f>
        <v>NHL-2026-0028</v>
      </c>
      <c r="E81" s="157" t="str" cm="1">
        <f t="array" ref="E81">INDEX(tbl_Ledger[Tax Category],ROWS($B$27:$B81))</f>
        <v>OUT_STD</v>
      </c>
      <c r="F81" s="157" t="str" cm="1">
        <f t="array" ref="F81">INDEX(tbl_Ledger[Direction],ROWS($B$27:$B81))</f>
        <v>Inflow</v>
      </c>
      <c r="G81" s="159" cm="1">
        <f t="array" ref="G81">INDEX(tbl_Ledger[Tax Charged on Invoice],ROWS($B$27:$B81))</f>
        <v>13142.6</v>
      </c>
      <c r="H81" s="159" cm="1">
        <f t="array" ref="H81">INDEX(tbl_Ledger[Expected Total Tax],ROWS($B$27:$B81))</f>
        <v>13142.6</v>
      </c>
      <c r="I81" s="159" t="str" cm="1">
        <f t="array" ref="I81">INDEX(tbl_Ledger[Description],ROWS($B$27:$B81))</f>
        <v>Bulk haulage of PMS, Takoradi-Wa, 2 trips</v>
      </c>
      <c r="J81" s="159" t="str" cm="1">
        <f t="array" ref="J81">INDEX(tbl_Ledger[Counterparty],ROWS($B$27:$B81))</f>
        <v>Pra River Energy Ltd</v>
      </c>
      <c r="K81" s="160" t="str">
        <f>IF(COUNTIF(Dup_Exclusions,$E81)&gt;0,"No","Yes")</f>
        <v>Yes</v>
      </c>
      <c r="L81" s="161" t="str">
        <f>IF(AND($D81="",COUNTIF(NoInv_Exempt,$E81)=0),"Yes","No")</f>
        <v>No</v>
      </c>
      <c r="M81" s="161" t="str" cm="1">
        <f t="array" ref="M81">IF(AND($D81&lt;&gt;"",$K81="Yes"),IF(SUMPRODUCT((tbl_Ledger[Invoice Number]=$D81)*(COUNTIF(Dup_Exclusions,tbl_Ledger[Tax Category])=0))&gt;1,"Yes","No"),"No")</f>
        <v>No</v>
      </c>
      <c r="N81" s="161" t="str">
        <f>IF(ABS($G81-$H81)&gt;Tax_Tolerance,"Yes","No")</f>
        <v>No</v>
      </c>
      <c r="O81" s="161" t="str">
        <f>IF(OR(AND($F81="Inflow",LEFT($E81,LEN(Prefix_Outflow))=Prefix_Outflow),AND($F81="Outflow",LEFT($E81,LEN(Prefix_Inflow))=Prefix_Inflow)),"Yes","No")</f>
        <v>No</v>
      </c>
      <c r="P81" s="161" t="str" cm="1">
        <f t="array" ref="P81">IF(AND(COUNTIF(Suspect_Categories,$E81)&gt;0,SUMPRODUCT(--ISNUMBER(SEARCH(Suspect_Keywords,$I81&amp;" "&amp;$J81)))&gt;0),"Yes","No")</f>
        <v>No</v>
      </c>
      <c r="Q81" s="161" t="str">
        <f t="shared" si="0"/>
        <v>No</v>
      </c>
    </row>
    <row r="82" spans="1:17" x14ac:dyDescent="0.3">
      <c r="A82" s="11"/>
      <c r="B82" s="157" cm="1">
        <f t="array" ref="B82">INDEX(tbl_Ledger[Row ID],ROWS($B$27:$B82))</f>
        <v>56</v>
      </c>
      <c r="C82" s="158" cm="1">
        <f t="array" ref="C82">INDEX(tbl_Ledger[Date],ROWS($B$27:$B82))</f>
        <v>46064</v>
      </c>
      <c r="D82" s="157" t="str" cm="1">
        <f t="array" ref="D82">IF(INDEX(tbl_Ledger[Invoice Number],ROWS($B$27:$B82))="","",INDEX(tbl_Ledger[Invoice Number],ROWS($B$27:$B82)))</f>
        <v>GRA-2026-0003</v>
      </c>
      <c r="E82" s="157" t="str" cm="1">
        <f t="array" ref="E82">INDEX(tbl_Ledger[Tax Category],ROWS($B$27:$B82))</f>
        <v>NO_VAT</v>
      </c>
      <c r="F82" s="157" t="str" cm="1">
        <f t="array" ref="F82">INDEX(tbl_Ledger[Direction],ROWS($B$27:$B82))</f>
        <v>Outflow</v>
      </c>
      <c r="G82" s="159" cm="1">
        <f t="array" ref="G82">INDEX(tbl_Ledger[Tax Charged on Invoice],ROWS($B$27:$B82))</f>
        <v>0</v>
      </c>
      <c r="H82" s="159" cm="1">
        <f t="array" ref="H82">INDEX(tbl_Ledger[Expected Total Tax],ROWS($B$27:$B82))</f>
        <v>0</v>
      </c>
      <c r="I82" s="159" t="str" cm="1">
        <f t="array" ref="I82">INDEX(tbl_Ledger[Description],ROWS($B$27:$B82))</f>
        <v>PAYE and SSNIT contributions - February</v>
      </c>
      <c r="J82" s="159" t="str" cm="1">
        <f t="array" ref="J82">INDEX(tbl_Ledger[Counterparty],ROWS($B$27:$B82))</f>
        <v>Ghana Revenue Authority</v>
      </c>
      <c r="K82" s="160" t="str">
        <f>IF(COUNTIF(Dup_Exclusions,$E82)&gt;0,"No","Yes")</f>
        <v>Yes</v>
      </c>
      <c r="L82" s="161" t="str">
        <f>IF(AND($D82="",COUNTIF(NoInv_Exempt,$E82)=0),"Yes","No")</f>
        <v>No</v>
      </c>
      <c r="M82" s="161" t="str" cm="1">
        <f t="array" ref="M82">IF(AND($D82&lt;&gt;"",$K82="Yes"),IF(SUMPRODUCT((tbl_Ledger[Invoice Number]=$D82)*(COUNTIF(Dup_Exclusions,tbl_Ledger[Tax Category])=0))&gt;1,"Yes","No"),"No")</f>
        <v>No</v>
      </c>
      <c r="N82" s="161" t="str">
        <f>IF(ABS($G82-$H82)&gt;Tax_Tolerance,"Yes","No")</f>
        <v>No</v>
      </c>
      <c r="O82" s="161" t="str">
        <f>IF(OR(AND($F82="Inflow",LEFT($E82,LEN(Prefix_Outflow))=Prefix_Outflow),AND($F82="Outflow",LEFT($E82,LEN(Prefix_Inflow))=Prefix_Inflow)),"Yes","No")</f>
        <v>No</v>
      </c>
      <c r="P82" s="161" t="str" cm="1">
        <f t="array" ref="P82">IF(AND(COUNTIF(Suspect_Categories,$E82)&gt;0,SUMPRODUCT(--ISNUMBER(SEARCH(Suspect_Keywords,$I82&amp;" "&amp;$J82)))&gt;0),"Yes","No")</f>
        <v>No</v>
      </c>
      <c r="Q82" s="161" t="str">
        <f t="shared" si="0"/>
        <v>No</v>
      </c>
    </row>
    <row r="83" spans="1:17" x14ac:dyDescent="0.3">
      <c r="A83" s="11"/>
      <c r="B83" s="157" cm="1">
        <f t="array" ref="B83">INDEX(tbl_Ledger[Row ID],ROWS($B$27:$B83))</f>
        <v>57</v>
      </c>
      <c r="C83" s="158" cm="1">
        <f t="array" ref="C83">INDEX(tbl_Ledger[Date],ROWS($B$27:$B83))</f>
        <v>46065</v>
      </c>
      <c r="D83" s="157" t="str" cm="1">
        <f t="array" ref="D83">IF(INDEX(tbl_Ledger[Invoice Number],ROWS($B$27:$B83))="","",INDEX(tbl_Ledger[Invoice Number],ROWS($B$27:$B83)))</f>
        <v>NHL-2026-0029</v>
      </c>
      <c r="E83" s="157" t="str" cm="1">
        <f t="array" ref="E83">INDEX(tbl_Ledger[Tax Category],ROWS($B$27:$B83))</f>
        <v>WHT_SVC</v>
      </c>
      <c r="F83" s="157" t="str" cm="1">
        <f t="array" ref="F83">INDEX(tbl_Ledger[Direction],ROWS($B$27:$B83))</f>
        <v>Inflow</v>
      </c>
      <c r="G83" s="159" cm="1">
        <f t="array" ref="G83">INDEX(tbl_Ledger[Tax Charged on Invoice],ROWS($B$27:$B83))</f>
        <v>7211.8</v>
      </c>
      <c r="H83" s="159" cm="1">
        <f t="array" ref="H83">INDEX(tbl_Ledger[Expected Total Tax],ROWS($B$27:$B83))</f>
        <v>7211.8</v>
      </c>
      <c r="I83" s="159" t="str" cm="1">
        <f t="array" ref="I83">INDEX(tbl_Ledger[Description],ROWS($B$27:$B83))</f>
        <v>Contract haulage of PMS, Takoradi-Tamale; customer withheld income tax at 7.5% on the service fee</v>
      </c>
      <c r="J83" s="159" t="str" cm="1">
        <f t="array" ref="J83">INDEX(tbl_Ledger[Counterparty],ROWS($B$27:$B83))</f>
        <v>Northern Star BDC Ltd</v>
      </c>
      <c r="K83" s="160" t="str">
        <f>IF(COUNTIF(Dup_Exclusions,$E83)&gt;0,"No","Yes")</f>
        <v>Yes</v>
      </c>
      <c r="L83" s="161" t="str">
        <f>IF(AND($D83="",COUNTIF(NoInv_Exempt,$E83)=0),"Yes","No")</f>
        <v>No</v>
      </c>
      <c r="M83" s="161" t="str" cm="1">
        <f t="array" ref="M83">IF(AND($D83&lt;&gt;"",$K83="Yes"),IF(SUMPRODUCT((tbl_Ledger[Invoice Number]=$D83)*(COUNTIF(Dup_Exclusions,tbl_Ledger[Tax Category])=0))&gt;1,"Yes","No"),"No")</f>
        <v>No</v>
      </c>
      <c r="N83" s="161" t="str">
        <f>IF(ABS($G83-$H83)&gt;Tax_Tolerance,"Yes","No")</f>
        <v>No</v>
      </c>
      <c r="O83" s="161" t="str">
        <f>IF(OR(AND($F83="Inflow",LEFT($E83,LEN(Prefix_Outflow))=Prefix_Outflow),AND($F83="Outflow",LEFT($E83,LEN(Prefix_Inflow))=Prefix_Inflow)),"Yes","No")</f>
        <v>No</v>
      </c>
      <c r="P83" s="161" t="str" cm="1">
        <f t="array" ref="P83">IF(AND(COUNTIF(Suspect_Categories,$E83)&gt;0,SUMPRODUCT(--ISNUMBER(SEARCH(Suspect_Keywords,$I83&amp;" "&amp;$J83)))&gt;0),"Yes","No")</f>
        <v>No</v>
      </c>
      <c r="Q83" s="161" t="str">
        <f t="shared" si="0"/>
        <v>No</v>
      </c>
    </row>
    <row r="84" spans="1:17" x14ac:dyDescent="0.3">
      <c r="A84" s="11"/>
      <c r="B84" s="157" cm="1">
        <f t="array" ref="B84">INDEX(tbl_Ledger[Row ID],ROWS($B$27:$B84))</f>
        <v>58</v>
      </c>
      <c r="C84" s="158" cm="1">
        <f t="array" ref="C84">INDEX(tbl_Ledger[Date],ROWS($B$27:$B84))</f>
        <v>46067</v>
      </c>
      <c r="D84" s="157" t="str" cm="1">
        <f t="array" ref="D84">IF(INDEX(tbl_Ledger[Invoice Number],ROWS($B$27:$B84))="","",INDEX(tbl_Ledger[Invoice Number],ROWS($B$27:$B84)))</f>
        <v>BNK-2026-0004</v>
      </c>
      <c r="E84" s="157" t="str" cm="1">
        <f t="array" ref="E84">INDEX(tbl_Ledger[Tax Category],ROWS($B$27:$B84))</f>
        <v>IN_EXEMPT</v>
      </c>
      <c r="F84" s="157" t="str" cm="1">
        <f t="array" ref="F84">INDEX(tbl_Ledger[Direction],ROWS($B$27:$B84))</f>
        <v>Outflow</v>
      </c>
      <c r="G84" s="159" cm="1">
        <f t="array" ref="G84">INDEX(tbl_Ledger[Tax Charged on Invoice],ROWS($B$27:$B84))</f>
        <v>0</v>
      </c>
      <c r="H84" s="159" cm="1">
        <f t="array" ref="H84">INDEX(tbl_Ledger[Expected Total Tax],ROWS($B$27:$B84))</f>
        <v>0</v>
      </c>
      <c r="I84" s="159" t="str" cm="1">
        <f t="array" ref="I84">INDEX(tbl_Ledger[Description],ROWS($B$27:$B84))</f>
        <v>Bank charges and account maintenance</v>
      </c>
      <c r="J84" s="159" t="str" cm="1">
        <f t="array" ref="J84">INDEX(tbl_Ledger[Counterparty],ROWS($B$27:$B84))</f>
        <v>Meridian Bank Ghana Ltd</v>
      </c>
      <c r="K84" s="160" t="str">
        <f>IF(COUNTIF(Dup_Exclusions,$E84)&gt;0,"No","Yes")</f>
        <v>Yes</v>
      </c>
      <c r="L84" s="161" t="str">
        <f>IF(AND($D84="",COUNTIF(NoInv_Exempt,$E84)=0),"Yes","No")</f>
        <v>No</v>
      </c>
      <c r="M84" s="161" t="str" cm="1">
        <f t="array" ref="M84">IF(AND($D84&lt;&gt;"",$K84="Yes"),IF(SUMPRODUCT((tbl_Ledger[Invoice Number]=$D84)*(COUNTIF(Dup_Exclusions,tbl_Ledger[Tax Category])=0))&gt;1,"Yes","No"),"No")</f>
        <v>No</v>
      </c>
      <c r="N84" s="161" t="str">
        <f>IF(ABS($G84-$H84)&gt;Tax_Tolerance,"Yes","No")</f>
        <v>No</v>
      </c>
      <c r="O84" s="161" t="str">
        <f>IF(OR(AND($F84="Inflow",LEFT($E84,LEN(Prefix_Outflow))=Prefix_Outflow),AND($F84="Outflow",LEFT($E84,LEN(Prefix_Inflow))=Prefix_Inflow)),"Yes","No")</f>
        <v>No</v>
      </c>
      <c r="P84" s="161" t="str" cm="1">
        <f t="array" ref="P84">IF(AND(COUNTIF(Suspect_Categories,$E84)&gt;0,SUMPRODUCT(--ISNUMBER(SEARCH(Suspect_Keywords,$I84&amp;" "&amp;$J84)))&gt;0),"Yes","No")</f>
        <v>No</v>
      </c>
      <c r="Q84" s="161" t="str">
        <f t="shared" si="0"/>
        <v>No</v>
      </c>
    </row>
    <row r="85" spans="1:17" x14ac:dyDescent="0.3">
      <c r="A85" s="11"/>
      <c r="B85" s="157" cm="1">
        <f t="array" ref="B85">INDEX(tbl_Ledger[Row ID],ROWS($B$27:$B85))</f>
        <v>59</v>
      </c>
      <c r="C85" s="158" cm="1">
        <f t="array" ref="C85">INDEX(tbl_Ledger[Date],ROWS($B$27:$B85))</f>
        <v>46068</v>
      </c>
      <c r="D85" s="157" t="str" cm="1">
        <f t="array" ref="D85">IF(INDEX(tbl_Ledger[Invoice Number],ROWS($B$27:$B85))="","",INDEX(tbl_Ledger[Invoice Number],ROWS($B$27:$B85)))</f>
        <v>LN-2026-0002</v>
      </c>
      <c r="E85" s="157" t="str" cm="1">
        <f t="array" ref="E85">INDEX(tbl_Ledger[Tax Category],ROWS($B$27:$B85))</f>
        <v>NO_VAT</v>
      </c>
      <c r="F85" s="157" t="str" cm="1">
        <f t="array" ref="F85">INDEX(tbl_Ledger[Direction],ROWS($B$27:$B85))</f>
        <v>Outflow</v>
      </c>
      <c r="G85" s="159" cm="1">
        <f t="array" ref="G85">INDEX(tbl_Ledger[Tax Charged on Invoice],ROWS($B$27:$B85))</f>
        <v>0</v>
      </c>
      <c r="H85" s="159" cm="1">
        <f t="array" ref="H85">INDEX(tbl_Ledger[Expected Total Tax],ROWS($B$27:$B85))</f>
        <v>0</v>
      </c>
      <c r="I85" s="159" t="str" cm="1">
        <f t="array" ref="I85">INDEX(tbl_Ledger[Description],ROWS($B$27:$B85))</f>
        <v>Term loan repayment - principal and interest, instalment 2</v>
      </c>
      <c r="J85" s="159" t="str" cm="1">
        <f t="array" ref="J85">INDEX(tbl_Ledger[Counterparty],ROWS($B$27:$B85))</f>
        <v>Meridian Bank Ghana Ltd</v>
      </c>
      <c r="K85" s="160" t="str">
        <f>IF(COUNTIF(Dup_Exclusions,$E85)&gt;0,"No","Yes")</f>
        <v>Yes</v>
      </c>
      <c r="L85" s="161" t="str">
        <f>IF(AND($D85="",COUNTIF(NoInv_Exempt,$E85)=0),"Yes","No")</f>
        <v>No</v>
      </c>
      <c r="M85" s="161" t="str" cm="1">
        <f t="array" ref="M85">IF(AND($D85&lt;&gt;"",$K85="Yes"),IF(SUMPRODUCT((tbl_Ledger[Invoice Number]=$D85)*(COUNTIF(Dup_Exclusions,tbl_Ledger[Tax Category])=0))&gt;1,"Yes","No"),"No")</f>
        <v>No</v>
      </c>
      <c r="N85" s="161" t="str">
        <f>IF(ABS($G85-$H85)&gt;Tax_Tolerance,"Yes","No")</f>
        <v>No</v>
      </c>
      <c r="O85" s="161" t="str">
        <f>IF(OR(AND($F85="Inflow",LEFT($E85,LEN(Prefix_Outflow))=Prefix_Outflow),AND($F85="Outflow",LEFT($E85,LEN(Prefix_Inflow))=Prefix_Inflow)),"Yes","No")</f>
        <v>No</v>
      </c>
      <c r="P85" s="161" t="str" cm="1">
        <f t="array" ref="P85">IF(AND(COUNTIF(Suspect_Categories,$E85)&gt;0,SUMPRODUCT(--ISNUMBER(SEARCH(Suspect_Keywords,$I85&amp;" "&amp;$J85)))&gt;0),"Yes","No")</f>
        <v>No</v>
      </c>
      <c r="Q85" s="161" t="str">
        <f t="shared" si="0"/>
        <v>No</v>
      </c>
    </row>
    <row r="86" spans="1:17" x14ac:dyDescent="0.3">
      <c r="A86" s="11"/>
      <c r="B86" s="157" cm="1">
        <f t="array" ref="B86">INDEX(tbl_Ledger[Row ID],ROWS($B$27:$B86))</f>
        <v>60</v>
      </c>
      <c r="C86" s="158" cm="1">
        <f t="array" ref="C86">INDEX(tbl_Ledger[Date],ROWS($B$27:$B86))</f>
        <v>46068</v>
      </c>
      <c r="D86" s="157" t="str" cm="1">
        <f t="array" ref="D86">IF(INDEX(tbl_Ledger[Invoice Number],ROWS($B$27:$B86))="","",INDEX(tbl_Ledger[Invoice Number],ROWS($B$27:$B86)))</f>
        <v>NHL-2026-0030</v>
      </c>
      <c r="E86" s="157" t="str" cm="1">
        <f t="array" ref="E86">INDEX(tbl_Ledger[Tax Category],ROWS($B$27:$B86))</f>
        <v>VAT_WHT</v>
      </c>
      <c r="F86" s="157" t="str" cm="1">
        <f t="array" ref="F86">INDEX(tbl_Ledger[Direction],ROWS($B$27:$B86))</f>
        <v>Inflow</v>
      </c>
      <c r="G86" s="159" cm="1">
        <f t="array" ref="G86">INDEX(tbl_Ledger[Tax Charged on Invoice],ROWS($B$27:$B86))</f>
        <v>15062.4</v>
      </c>
      <c r="H86" s="159" cm="1">
        <f t="array" ref="H86">INDEX(tbl_Ledger[Expected Total Tax],ROWS($B$27:$B86))</f>
        <v>15062.399999999998</v>
      </c>
      <c r="I86" s="159" t="str" cm="1">
        <f t="array" ref="I86">INDEX(tbl_Ledger[Description],ROWS($B$27:$B86))</f>
        <v>Term haulage contract, LPG, Tema-Cape Coast; customer is an appointed VAT withholding agent and retained 7%</v>
      </c>
      <c r="J86" s="159" t="str" cm="1">
        <f t="array" ref="J86">INDEX(tbl_Ledger[Counterparty],ROWS($B$27:$B86))</f>
        <v>Northern Star BDC Ltd</v>
      </c>
      <c r="K86" s="160" t="str">
        <f>IF(COUNTIF(Dup_Exclusions,$E86)&gt;0,"No","Yes")</f>
        <v>No</v>
      </c>
      <c r="L86" s="161" t="str">
        <f>IF(AND($D86="",COUNTIF(NoInv_Exempt,$E86)=0),"Yes","No")</f>
        <v>No</v>
      </c>
      <c r="M86" s="161" t="str" cm="1">
        <f t="array" ref="M86">IF(AND($D86&lt;&gt;"",$K86="Yes"),IF(SUMPRODUCT((tbl_Ledger[Invoice Number]=$D86)*(COUNTIF(Dup_Exclusions,tbl_Ledger[Tax Category])=0))&gt;1,"Yes","No"),"No")</f>
        <v>No</v>
      </c>
      <c r="N86" s="161" t="str">
        <f>IF(ABS($G86-$H86)&gt;Tax_Tolerance,"Yes","No")</f>
        <v>No</v>
      </c>
      <c r="O86" s="161" t="str">
        <f>IF(OR(AND($F86="Inflow",LEFT($E86,LEN(Prefix_Outflow))=Prefix_Outflow),AND($F86="Outflow",LEFT($E86,LEN(Prefix_Inflow))=Prefix_Inflow)),"Yes","No")</f>
        <v>No</v>
      </c>
      <c r="P86" s="161" t="str" cm="1">
        <f t="array" ref="P86">IF(AND(COUNTIF(Suspect_Categories,$E86)&gt;0,SUMPRODUCT(--ISNUMBER(SEARCH(Suspect_Keywords,$I86&amp;" "&amp;$J86)))&gt;0),"Yes","No")</f>
        <v>No</v>
      </c>
      <c r="Q86" s="161" t="str">
        <f t="shared" si="0"/>
        <v>No</v>
      </c>
    </row>
    <row r="87" spans="1:17" x14ac:dyDescent="0.3">
      <c r="A87" s="11"/>
      <c r="B87" s="157" cm="1">
        <f t="array" ref="B87">INDEX(tbl_Ledger[Row ID],ROWS($B$27:$B87))</f>
        <v>61</v>
      </c>
      <c r="C87" s="158" cm="1">
        <f t="array" ref="C87">INDEX(tbl_Ledger[Date],ROWS($B$27:$B87))</f>
        <v>46069</v>
      </c>
      <c r="D87" s="157" t="str" cm="1">
        <f t="array" ref="D87">IF(INDEX(tbl_Ledger[Invoice Number],ROWS($B$27:$B87))="","",INDEX(tbl_Ledger[Invoice Number],ROWS($B$27:$B87)))</f>
        <v>SIN-2026-0021</v>
      </c>
      <c r="E87" s="157" t="str" cm="1">
        <f t="array" ref="E87">INDEX(tbl_Ledger[Tax Category],ROWS($B$27:$B87))</f>
        <v>IN_NONDED</v>
      </c>
      <c r="F87" s="157" t="str" cm="1">
        <f t="array" ref="F87">INDEX(tbl_Ledger[Direction],ROWS($B$27:$B87))</f>
        <v>Outflow</v>
      </c>
      <c r="G87" s="159" cm="1">
        <f t="array" ref="G87">INDEX(tbl_Ledger[Tax Charged on Invoice],ROWS($B$27:$B87))</f>
        <v>1632.4</v>
      </c>
      <c r="H87" s="159" cm="1">
        <f t="array" ref="H87">INDEX(tbl_Ledger[Expected Total Tax],ROWS($B$27:$B87))</f>
        <v>1632.3999999999999</v>
      </c>
      <c r="I87" s="159" t="str" cm="1">
        <f t="array" ref="I87">INDEX(tbl_Ledger[Description],ROWS($B$27:$B87))</f>
        <v>Staff hospitality and refreshments</v>
      </c>
      <c r="J87" s="159" t="str" cm="1">
        <f t="array" ref="J87">INDEX(tbl_Ledger[Counterparty],ROWS($B$27:$B87))</f>
        <v>Executive Motors Ltd</v>
      </c>
      <c r="K87" s="160" t="str">
        <f>IF(COUNTIF(Dup_Exclusions,$E87)&gt;0,"No","Yes")</f>
        <v>Yes</v>
      </c>
      <c r="L87" s="161" t="str">
        <f>IF(AND($D87="",COUNTIF(NoInv_Exempt,$E87)=0),"Yes","No")</f>
        <v>No</v>
      </c>
      <c r="M87" s="161" t="str" cm="1">
        <f t="array" ref="M87">IF(AND($D87&lt;&gt;"",$K87="Yes"),IF(SUMPRODUCT((tbl_Ledger[Invoice Number]=$D87)*(COUNTIF(Dup_Exclusions,tbl_Ledger[Tax Category])=0))&gt;1,"Yes","No"),"No")</f>
        <v>No</v>
      </c>
      <c r="N87" s="161" t="str">
        <f>IF(ABS($G87-$H87)&gt;Tax_Tolerance,"Yes","No")</f>
        <v>No</v>
      </c>
      <c r="O87" s="161" t="str">
        <f>IF(OR(AND($F87="Inflow",LEFT($E87,LEN(Prefix_Outflow))=Prefix_Outflow),AND($F87="Outflow",LEFT($E87,LEN(Prefix_Inflow))=Prefix_Inflow)),"Yes","No")</f>
        <v>No</v>
      </c>
      <c r="P87" s="161" t="str" cm="1">
        <f t="array" ref="P87">IF(AND(COUNTIF(Suspect_Categories,$E87)&gt;0,SUMPRODUCT(--ISNUMBER(SEARCH(Suspect_Keywords,$I87&amp;" "&amp;$J87)))&gt;0),"Yes","No")</f>
        <v>No</v>
      </c>
      <c r="Q87" s="161" t="str">
        <f t="shared" si="0"/>
        <v>No</v>
      </c>
    </row>
    <row r="88" spans="1:17" x14ac:dyDescent="0.3">
      <c r="A88" s="11"/>
      <c r="B88" s="157" cm="1">
        <f t="array" ref="B88">INDEX(tbl_Ledger[Row ID],ROWS($B$27:$B88))</f>
        <v>62</v>
      </c>
      <c r="C88" s="158" cm="1">
        <f t="array" ref="C88">INDEX(tbl_Ledger[Date],ROWS($B$27:$B88))</f>
        <v>46069</v>
      </c>
      <c r="D88" s="157" t="str" cm="1">
        <f t="array" ref="D88">IF(INDEX(tbl_Ledger[Invoice Number],ROWS($B$27:$B88))="","",INDEX(tbl_Ledger[Invoice Number],ROWS($B$27:$B88)))</f>
        <v>NHL-2026-0031</v>
      </c>
      <c r="E88" s="157" t="str" cm="1">
        <f t="array" ref="E88">INDEX(tbl_Ledger[Tax Category],ROWS($B$27:$B88))</f>
        <v>VAT_WHT</v>
      </c>
      <c r="F88" s="157" t="str" cm="1">
        <f t="array" ref="F88">INDEX(tbl_Ledger[Direction],ROWS($B$27:$B88))</f>
        <v>Inflow</v>
      </c>
      <c r="G88" s="159" cm="1">
        <f t="array" ref="G88">INDEX(tbl_Ledger[Tax Charged on Invoice],ROWS($B$27:$B88))</f>
        <v>25620.2</v>
      </c>
      <c r="H88" s="159" cm="1">
        <f t="array" ref="H88">INDEX(tbl_Ledger[Expected Total Tax],ROWS($B$27:$B88))</f>
        <v>25620.2</v>
      </c>
      <c r="I88" s="159" t="str" cm="1">
        <f t="array" ref="I88">INDEX(tbl_Ledger[Description],ROWS($B$27:$B88))</f>
        <v>Term haulage contract, ATK, Tema-Bolgatanga; customer is an appointed VAT withholding agent and retained 7%</v>
      </c>
      <c r="J88" s="159" t="str" cm="1">
        <f t="array" ref="J88">INDEX(tbl_Ledger[Counterparty],ROWS($B$27:$B88))</f>
        <v>Northern Star BDC Ltd</v>
      </c>
      <c r="K88" s="160" t="str">
        <f>IF(COUNTIF(Dup_Exclusions,$E88)&gt;0,"No","Yes")</f>
        <v>No</v>
      </c>
      <c r="L88" s="161" t="str">
        <f>IF(AND($D88="",COUNTIF(NoInv_Exempt,$E88)=0),"Yes","No")</f>
        <v>No</v>
      </c>
      <c r="M88" s="161" t="str" cm="1">
        <f t="array" ref="M88">IF(AND($D88&lt;&gt;"",$K88="Yes"),IF(SUMPRODUCT((tbl_Ledger[Invoice Number]=$D88)*(COUNTIF(Dup_Exclusions,tbl_Ledger[Tax Category])=0))&gt;1,"Yes","No"),"No")</f>
        <v>No</v>
      </c>
      <c r="N88" s="161" t="str">
        <f>IF(ABS($G88-$H88)&gt;Tax_Tolerance,"Yes","No")</f>
        <v>No</v>
      </c>
      <c r="O88" s="161" t="str">
        <f>IF(OR(AND($F88="Inflow",LEFT($E88,LEN(Prefix_Outflow))=Prefix_Outflow),AND($F88="Outflow",LEFT($E88,LEN(Prefix_Inflow))=Prefix_Inflow)),"Yes","No")</f>
        <v>No</v>
      </c>
      <c r="P88" s="161" t="str" cm="1">
        <f t="array" ref="P88">IF(AND(COUNTIF(Suspect_Categories,$E88)&gt;0,SUMPRODUCT(--ISNUMBER(SEARCH(Suspect_Keywords,$I88&amp;" "&amp;$J88)))&gt;0),"Yes","No")</f>
        <v>No</v>
      </c>
      <c r="Q88" s="161" t="str">
        <f t="shared" si="0"/>
        <v>No</v>
      </c>
    </row>
    <row r="89" spans="1:17" x14ac:dyDescent="0.3">
      <c r="A89" s="11"/>
      <c r="B89" s="157" cm="1">
        <f t="array" ref="B89">INDEX(tbl_Ledger[Row ID],ROWS($B$27:$B89))</f>
        <v>63</v>
      </c>
      <c r="C89" s="158" cm="1">
        <f t="array" ref="C89">INDEX(tbl_Ledger[Date],ROWS($B$27:$B89))</f>
        <v>46071</v>
      </c>
      <c r="D89" s="157" t="str" cm="1">
        <f t="array" ref="D89">IF(INDEX(tbl_Ledger[Invoice Number],ROWS($B$27:$B89))="","",INDEX(tbl_Ledger[Invoice Number],ROWS($B$27:$B89)))</f>
        <v>SIN-2026-0022</v>
      </c>
      <c r="E89" s="157" t="str" cm="1">
        <f t="array" ref="E89">INDEX(tbl_Ledger[Tax Category],ROWS($B$27:$B89))</f>
        <v>IN_EXEMPT</v>
      </c>
      <c r="F89" s="157" t="str" cm="1">
        <f t="array" ref="F89">INDEX(tbl_Ledger[Direction],ROWS($B$27:$B89))</f>
        <v>Outflow</v>
      </c>
      <c r="G89" s="159" cm="1">
        <f t="array" ref="G89">INDEX(tbl_Ledger[Tax Charged on Invoice],ROWS($B$27:$B89))</f>
        <v>0</v>
      </c>
      <c r="H89" s="159" cm="1">
        <f t="array" ref="H89">INDEX(tbl_Ledger[Expected Total Tax],ROWS($B$27:$B89))</f>
        <v>0</v>
      </c>
      <c r="I89" s="159" t="str" cm="1">
        <f t="array" ref="I89">INDEX(tbl_Ledger[Description],ROWS($B$27:$B89))</f>
        <v>Third-party liability cover premium</v>
      </c>
      <c r="J89" s="159" t="str" cm="1">
        <f t="array" ref="J89">INDEX(tbl_Ledger[Counterparty],ROWS($B$27:$B89))</f>
        <v>Unity Assurance Ltd</v>
      </c>
      <c r="K89" s="160" t="str">
        <f>IF(COUNTIF(Dup_Exclusions,$E89)&gt;0,"No","Yes")</f>
        <v>Yes</v>
      </c>
      <c r="L89" s="161" t="str">
        <f>IF(AND($D89="",COUNTIF(NoInv_Exempt,$E89)=0),"Yes","No")</f>
        <v>No</v>
      </c>
      <c r="M89" s="161" t="str" cm="1">
        <f t="array" ref="M89">IF(AND($D89&lt;&gt;"",$K89="Yes"),IF(SUMPRODUCT((tbl_Ledger[Invoice Number]=$D89)*(COUNTIF(Dup_Exclusions,tbl_Ledger[Tax Category])=0))&gt;1,"Yes","No"),"No")</f>
        <v>No</v>
      </c>
      <c r="N89" s="161" t="str">
        <f>IF(ABS($G89-$H89)&gt;Tax_Tolerance,"Yes","No")</f>
        <v>No</v>
      </c>
      <c r="O89" s="161" t="str">
        <f>IF(OR(AND($F89="Inflow",LEFT($E89,LEN(Prefix_Outflow))=Prefix_Outflow),AND($F89="Outflow",LEFT($E89,LEN(Prefix_Inflow))=Prefix_Inflow)),"Yes","No")</f>
        <v>No</v>
      </c>
      <c r="P89" s="161" t="str" cm="1">
        <f t="array" ref="P89">IF(AND(COUNTIF(Suspect_Categories,$E89)&gt;0,SUMPRODUCT(--ISNUMBER(SEARCH(Suspect_Keywords,$I89&amp;" "&amp;$J89)))&gt;0),"Yes","No")</f>
        <v>No</v>
      </c>
      <c r="Q89" s="161" t="str">
        <f t="shared" si="0"/>
        <v>No</v>
      </c>
    </row>
    <row r="90" spans="1:17" x14ac:dyDescent="0.3">
      <c r="A90" s="11"/>
      <c r="B90" s="157" cm="1">
        <f t="array" ref="B90">INDEX(tbl_Ledger[Row ID],ROWS($B$27:$B90))</f>
        <v>64</v>
      </c>
      <c r="C90" s="158" cm="1">
        <f t="array" ref="C90">INDEX(tbl_Ledger[Date],ROWS($B$27:$B90))</f>
        <v>46072</v>
      </c>
      <c r="D90" s="157" t="str" cm="1">
        <f t="array" ref="D90">IF(INDEX(tbl_Ledger[Invoice Number],ROWS($B$27:$B90))="","",INDEX(tbl_Ledger[Invoice Number],ROWS($B$27:$B90)))</f>
        <v>NHL-2026-0032</v>
      </c>
      <c r="E90" s="157" t="str" cm="1">
        <f t="array" ref="E90">INDEX(tbl_Ledger[Tax Category],ROWS($B$27:$B90))</f>
        <v>OUT_STD</v>
      </c>
      <c r="F90" s="157" t="str" cm="1">
        <f t="array" ref="F90">INDEX(tbl_Ledger[Direction],ROWS($B$27:$B90))</f>
        <v>Inflow</v>
      </c>
      <c r="G90" s="159" cm="1">
        <f t="array" ref="G90">INDEX(tbl_Ledger[Tax Charged on Invoice],ROWS($B$27:$B90))</f>
        <v>15295.4</v>
      </c>
      <c r="H90" s="159" cm="1">
        <f t="array" ref="H90">INDEX(tbl_Ledger[Expected Total Tax],ROWS($B$27:$B90))</f>
        <v>15295.399999999998</v>
      </c>
      <c r="I90" s="159" t="str" cm="1">
        <f t="array" ref="I90">INDEX(tbl_Ledger[Description],ROWS($B$27:$B90))</f>
        <v>Bulk haulage of ATK, Tema-Cape Coast, 8 trips</v>
      </c>
      <c r="J90" s="159" t="str" cm="1">
        <f t="array" ref="J90">INDEX(tbl_Ledger[Counterparty],ROWS($B$27:$B90))</f>
        <v>Akwaaba Petroleum Ltd</v>
      </c>
      <c r="K90" s="160" t="str">
        <f>IF(COUNTIF(Dup_Exclusions,$E90)&gt;0,"No","Yes")</f>
        <v>Yes</v>
      </c>
      <c r="L90" s="161" t="str">
        <f>IF(AND($D90="",COUNTIF(NoInv_Exempt,$E90)=0),"Yes","No")</f>
        <v>No</v>
      </c>
      <c r="M90" s="161" t="str" cm="1">
        <f t="array" ref="M90">IF(AND($D90&lt;&gt;"",$K90="Yes"),IF(SUMPRODUCT((tbl_Ledger[Invoice Number]=$D90)*(COUNTIF(Dup_Exclusions,tbl_Ledger[Tax Category])=0))&gt;1,"Yes","No"),"No")</f>
        <v>No</v>
      </c>
      <c r="N90" s="161" t="str">
        <f>IF(ABS($G90-$H90)&gt;Tax_Tolerance,"Yes","No")</f>
        <v>No</v>
      </c>
      <c r="O90" s="161" t="str">
        <f>IF(OR(AND($F90="Inflow",LEFT($E90,LEN(Prefix_Outflow))=Prefix_Outflow),AND($F90="Outflow",LEFT($E90,LEN(Prefix_Inflow))=Prefix_Inflow)),"Yes","No")</f>
        <v>No</v>
      </c>
      <c r="P90" s="161" t="str" cm="1">
        <f t="array" ref="P90">IF(AND(COUNTIF(Suspect_Categories,$E90)&gt;0,SUMPRODUCT(--ISNUMBER(SEARCH(Suspect_Keywords,$I90&amp;" "&amp;$J90)))&gt;0),"Yes","No")</f>
        <v>No</v>
      </c>
      <c r="Q90" s="161" t="str">
        <f t="shared" si="0"/>
        <v>No</v>
      </c>
    </row>
    <row r="91" spans="1:17" x14ac:dyDescent="0.3">
      <c r="A91" s="11"/>
      <c r="B91" s="157" cm="1">
        <f t="array" ref="B91">INDEX(tbl_Ledger[Row ID],ROWS($B$27:$B91))</f>
        <v>65</v>
      </c>
      <c r="C91" s="158" cm="1">
        <f t="array" ref="C91">INDEX(tbl_Ledger[Date],ROWS($B$27:$B91))</f>
        <v>46075</v>
      </c>
      <c r="D91" s="157" t="str" cm="1">
        <f t="array" ref="D91">IF(INDEX(tbl_Ledger[Invoice Number],ROWS($B$27:$B91))="","",INDEX(tbl_Ledger[Invoice Number],ROWS($B$27:$B91)))</f>
        <v>SIN-2026-0023</v>
      </c>
      <c r="E91" s="157" t="str" cm="1">
        <f t="array" ref="E91">INDEX(tbl_Ledger[Tax Category],ROWS($B$27:$B91))</f>
        <v>IN_STD</v>
      </c>
      <c r="F91" s="157" t="str" cm="1">
        <f t="array" ref="F91">INDEX(tbl_Ledger[Direction],ROWS($B$27:$B91))</f>
        <v>Outflow</v>
      </c>
      <c r="G91" s="159" cm="1">
        <f t="array" ref="G91">INDEX(tbl_Ledger[Tax Charged on Invoice],ROWS($B$27:$B91))</f>
        <v>10480</v>
      </c>
      <c r="H91" s="159" cm="1">
        <f t="array" ref="H91">INDEX(tbl_Ledger[Expected Total Tax],ROWS($B$27:$B91))</f>
        <v>10480</v>
      </c>
      <c r="I91" s="159" t="str" cm="1">
        <f t="array" ref="I91">INDEX(tbl_Ledger[Description],ROWS($B$27:$B91))</f>
        <v>Diesel (AGO) purchased for own fleet use, 14,500 litres</v>
      </c>
      <c r="J91" s="159" t="str" cm="1">
        <f t="array" ref="J91">INDEX(tbl_Ledger[Counterparty],ROWS($B$27:$B91))</f>
        <v>Zenith Fuel Depot Ltd</v>
      </c>
      <c r="K91" s="160" t="str">
        <f>IF(COUNTIF(Dup_Exclusions,$E91)&gt;0,"No","Yes")</f>
        <v>Yes</v>
      </c>
      <c r="L91" s="161" t="str">
        <f>IF(AND($D91="",COUNTIF(NoInv_Exempt,$E91)=0),"Yes","No")</f>
        <v>No</v>
      </c>
      <c r="M91" s="161" t="str" cm="1">
        <f t="array" ref="M91">IF(AND($D91&lt;&gt;"",$K91="Yes"),IF(SUMPRODUCT((tbl_Ledger[Invoice Number]=$D91)*(COUNTIF(Dup_Exclusions,tbl_Ledger[Tax Category])=0))&gt;1,"Yes","No"),"No")</f>
        <v>No</v>
      </c>
      <c r="N91" s="161" t="str">
        <f>IF(ABS($G91-$H91)&gt;Tax_Tolerance,"Yes","No")</f>
        <v>No</v>
      </c>
      <c r="O91" s="161" t="str">
        <f>IF(OR(AND($F91="Inflow",LEFT($E91,LEN(Prefix_Outflow))=Prefix_Outflow),AND($F91="Outflow",LEFT($E91,LEN(Prefix_Inflow))=Prefix_Inflow)),"Yes","No")</f>
        <v>No</v>
      </c>
      <c r="P91" s="161" t="str" cm="1">
        <f t="array" ref="P91">IF(AND(COUNTIF(Suspect_Categories,$E91)&gt;0,SUMPRODUCT(--ISNUMBER(SEARCH(Suspect_Keywords,$I91&amp;" "&amp;$J91)))&gt;0),"Yes","No")</f>
        <v>Yes</v>
      </c>
      <c r="Q91" s="161" t="str">
        <f t="shared" si="0"/>
        <v>Yes</v>
      </c>
    </row>
    <row r="92" spans="1:17" x14ac:dyDescent="0.3">
      <c r="A92" s="11"/>
      <c r="B92" s="157" cm="1">
        <f t="array" ref="B92">INDEX(tbl_Ledger[Row ID],ROWS($B$27:$B92))</f>
        <v>66</v>
      </c>
      <c r="C92" s="158" cm="1">
        <f t="array" ref="C92">INDEX(tbl_Ledger[Date],ROWS($B$27:$B92))</f>
        <v>46075</v>
      </c>
      <c r="D92" s="157" t="str" cm="1">
        <f t="array" ref="D92">IF(INDEX(tbl_Ledger[Invoice Number],ROWS($B$27:$B92))="","",INDEX(tbl_Ledger[Invoice Number],ROWS($B$27:$B92)))</f>
        <v>GRA-2026-0004</v>
      </c>
      <c r="E92" s="157" t="str" cm="1">
        <f t="array" ref="E92">INDEX(tbl_Ledger[Tax Category],ROWS($B$27:$B92))</f>
        <v>NO_VAT</v>
      </c>
      <c r="F92" s="157" t="str" cm="1">
        <f t="array" ref="F92">INDEX(tbl_Ledger[Direction],ROWS($B$27:$B92))</f>
        <v>Outflow</v>
      </c>
      <c r="G92" s="159" cm="1">
        <f t="array" ref="G92">INDEX(tbl_Ledger[Tax Charged on Invoice],ROWS($B$27:$B92))</f>
        <v>0</v>
      </c>
      <c r="H92" s="159" cm="1">
        <f t="array" ref="H92">INDEX(tbl_Ledger[Expected Total Tax],ROWS($B$27:$B92))</f>
        <v>0</v>
      </c>
      <c r="I92" s="159" t="str" cm="1">
        <f t="array" ref="I92">INDEX(tbl_Ledger[Description],ROWS($B$27:$B92))</f>
        <v>VAT and levies remitted to GRA for February period</v>
      </c>
      <c r="J92" s="159" t="str" cm="1">
        <f t="array" ref="J92">INDEX(tbl_Ledger[Counterparty],ROWS($B$27:$B92))</f>
        <v>Ghana Revenue Authority</v>
      </c>
      <c r="K92" s="160" t="str">
        <f>IF(COUNTIF(Dup_Exclusions,$E92)&gt;0,"No","Yes")</f>
        <v>Yes</v>
      </c>
      <c r="L92" s="161" t="str">
        <f>IF(AND($D92="",COUNTIF(NoInv_Exempt,$E92)=0),"Yes","No")</f>
        <v>No</v>
      </c>
      <c r="M92" s="161" t="str" cm="1">
        <f t="array" ref="M92">IF(AND($D92&lt;&gt;"",$K92="Yes"),IF(SUMPRODUCT((tbl_Ledger[Invoice Number]=$D92)*(COUNTIF(Dup_Exclusions,tbl_Ledger[Tax Category])=0))&gt;1,"Yes","No"),"No")</f>
        <v>No</v>
      </c>
      <c r="N92" s="161" t="str">
        <f>IF(ABS($G92-$H92)&gt;Tax_Tolerance,"Yes","No")</f>
        <v>No</v>
      </c>
      <c r="O92" s="161" t="str">
        <f>IF(OR(AND($F92="Inflow",LEFT($E92,LEN(Prefix_Outflow))=Prefix_Outflow),AND($F92="Outflow",LEFT($E92,LEN(Prefix_Inflow))=Prefix_Inflow)),"Yes","No")</f>
        <v>No</v>
      </c>
      <c r="P92" s="161" t="str" cm="1">
        <f t="array" ref="P92">IF(AND(COUNTIF(Suspect_Categories,$E92)&gt;0,SUMPRODUCT(--ISNUMBER(SEARCH(Suspect_Keywords,$I92&amp;" "&amp;$J92)))&gt;0),"Yes","No")</f>
        <v>No</v>
      </c>
      <c r="Q92" s="161" t="str">
        <f t="shared" si="0"/>
        <v>No</v>
      </c>
    </row>
    <row r="93" spans="1:17" x14ac:dyDescent="0.3">
      <c r="A93" s="11"/>
      <c r="B93" s="157" cm="1">
        <f t="array" ref="B93">INDEX(tbl_Ledger[Row ID],ROWS($B$27:$B93))</f>
        <v>67</v>
      </c>
      <c r="C93" s="158" cm="1">
        <f t="array" ref="C93">INDEX(tbl_Ledger[Date],ROWS($B$27:$B93))</f>
        <v>46078</v>
      </c>
      <c r="D93" s="157" t="str" cm="1">
        <f t="array" ref="D93">IF(INDEX(tbl_Ledger[Invoice Number],ROWS($B$27:$B93))="","",INDEX(tbl_Ledger[Invoice Number],ROWS($B$27:$B93)))</f>
        <v>NHL-2026-0033</v>
      </c>
      <c r="E93" s="157" t="str" cm="1">
        <f t="array" ref="E93">INDEX(tbl_Ledger[Tax Category],ROWS($B$27:$B93))</f>
        <v>OUT_STD</v>
      </c>
      <c r="F93" s="157" t="str" cm="1">
        <f t="array" ref="F93">INDEX(tbl_Ledger[Direction],ROWS($B$27:$B93))</f>
        <v>Inflow</v>
      </c>
      <c r="G93" s="159" cm="1">
        <f t="array" ref="G93">INDEX(tbl_Ledger[Tax Charged on Invoice],ROWS($B$27:$B93))</f>
        <v>15895.8</v>
      </c>
      <c r="H93" s="159" cm="1">
        <f t="array" ref="H93">INDEX(tbl_Ledger[Expected Total Tax],ROWS($B$27:$B93))</f>
        <v>15895.800000000001</v>
      </c>
      <c r="I93" s="159" t="str" cm="1">
        <f t="array" ref="I93">INDEX(tbl_Ledger[Description],ROWS($B$27:$B93))</f>
        <v>Bulk haulage of PMS, Tema-Kumasi, 7 trips</v>
      </c>
      <c r="J93" s="159" t="str" cm="1">
        <f t="array" ref="J93">INDEX(tbl_Ledger[Counterparty],ROWS($B$27:$B93))</f>
        <v>Adinkra Oil Marketing Ltd</v>
      </c>
      <c r="K93" s="160" t="str">
        <f>IF(COUNTIF(Dup_Exclusions,$E93)&gt;0,"No","Yes")</f>
        <v>Yes</v>
      </c>
      <c r="L93" s="161" t="str">
        <f>IF(AND($D93="",COUNTIF(NoInv_Exempt,$E93)=0),"Yes","No")</f>
        <v>No</v>
      </c>
      <c r="M93" s="161" t="str" cm="1">
        <f t="array" ref="M93">IF(AND($D93&lt;&gt;"",$K93="Yes"),IF(SUMPRODUCT((tbl_Ledger[Invoice Number]=$D93)*(COUNTIF(Dup_Exclusions,tbl_Ledger[Tax Category])=0))&gt;1,"Yes","No"),"No")</f>
        <v>No</v>
      </c>
      <c r="N93" s="161" t="str">
        <f>IF(ABS($G93-$H93)&gt;Tax_Tolerance,"Yes","No")</f>
        <v>No</v>
      </c>
      <c r="O93" s="161" t="str">
        <f>IF(OR(AND($F93="Inflow",LEFT($E93,LEN(Prefix_Outflow))=Prefix_Outflow),AND($F93="Outflow",LEFT($E93,LEN(Prefix_Inflow))=Prefix_Inflow)),"Yes","No")</f>
        <v>No</v>
      </c>
      <c r="P93" s="161" t="str" cm="1">
        <f t="array" ref="P93">IF(AND(COUNTIF(Suspect_Categories,$E93)&gt;0,SUMPRODUCT(--ISNUMBER(SEARCH(Suspect_Keywords,$I93&amp;" "&amp;$J93)))&gt;0),"Yes","No")</f>
        <v>No</v>
      </c>
      <c r="Q93" s="161" t="str">
        <f t="shared" si="0"/>
        <v>No</v>
      </c>
    </row>
    <row r="94" spans="1:17" x14ac:dyDescent="0.3">
      <c r="A94" s="11"/>
      <c r="B94" s="157" cm="1">
        <f t="array" ref="B94">INDEX(tbl_Ledger[Row ID],ROWS($B$27:$B94))</f>
        <v>68</v>
      </c>
      <c r="C94" s="158" cm="1">
        <f t="array" ref="C94">INDEX(tbl_Ledger[Date],ROWS($B$27:$B94))</f>
        <v>46079</v>
      </c>
      <c r="D94" s="157" t="str" cm="1">
        <f t="array" ref="D94">IF(INDEX(tbl_Ledger[Invoice Number],ROWS($B$27:$B94))="","",INDEX(tbl_Ledger[Invoice Number],ROWS($B$27:$B94)))</f>
        <v>BNK-2026-0005</v>
      </c>
      <c r="E94" s="157" t="str" cm="1">
        <f t="array" ref="E94">INDEX(tbl_Ledger[Tax Category],ROWS($B$27:$B94))</f>
        <v>IN_EXEMPT</v>
      </c>
      <c r="F94" s="157" t="str" cm="1">
        <f t="array" ref="F94">INDEX(tbl_Ledger[Direction],ROWS($B$27:$B94))</f>
        <v>Outflow</v>
      </c>
      <c r="G94" s="159" cm="1">
        <f t="array" ref="G94">INDEX(tbl_Ledger[Tax Charged on Invoice],ROWS($B$27:$B94))</f>
        <v>0</v>
      </c>
      <c r="H94" s="159" cm="1">
        <f t="array" ref="H94">INDEX(tbl_Ledger[Expected Total Tax],ROWS($B$27:$B94))</f>
        <v>0</v>
      </c>
      <c r="I94" s="159" t="str" cm="1">
        <f t="array" ref="I94">INDEX(tbl_Ledger[Description],ROWS($B$27:$B94))</f>
        <v>Cheque book and facility fees</v>
      </c>
      <c r="J94" s="159" t="str" cm="1">
        <f t="array" ref="J94">INDEX(tbl_Ledger[Counterparty],ROWS($B$27:$B94))</f>
        <v>Meridian Bank Ghana Ltd</v>
      </c>
      <c r="K94" s="160" t="str">
        <f>IF(COUNTIF(Dup_Exclusions,$E94)&gt;0,"No","Yes")</f>
        <v>Yes</v>
      </c>
      <c r="L94" s="161" t="str">
        <f>IF(AND($D94="",COUNTIF(NoInv_Exempt,$E94)=0),"Yes","No")</f>
        <v>No</v>
      </c>
      <c r="M94" s="161" t="str" cm="1">
        <f t="array" ref="M94">IF(AND($D94&lt;&gt;"",$K94="Yes"),IF(SUMPRODUCT((tbl_Ledger[Invoice Number]=$D94)*(COUNTIF(Dup_Exclusions,tbl_Ledger[Tax Category])=0))&gt;1,"Yes","No"),"No")</f>
        <v>No</v>
      </c>
      <c r="N94" s="161" t="str">
        <f>IF(ABS($G94-$H94)&gt;Tax_Tolerance,"Yes","No")</f>
        <v>No</v>
      </c>
      <c r="O94" s="161" t="str">
        <f>IF(OR(AND($F94="Inflow",LEFT($E94,LEN(Prefix_Outflow))=Prefix_Outflow),AND($F94="Outflow",LEFT($E94,LEN(Prefix_Inflow))=Prefix_Inflow)),"Yes","No")</f>
        <v>No</v>
      </c>
      <c r="P94" s="161" t="str" cm="1">
        <f t="array" ref="P94">IF(AND(COUNTIF(Suspect_Categories,$E94)&gt;0,SUMPRODUCT(--ISNUMBER(SEARCH(Suspect_Keywords,$I94&amp;" "&amp;$J94)))&gt;0),"Yes","No")</f>
        <v>No</v>
      </c>
      <c r="Q94" s="161" t="str">
        <f t="shared" si="0"/>
        <v>No</v>
      </c>
    </row>
    <row r="95" spans="1:17" x14ac:dyDescent="0.3">
      <c r="A95" s="11"/>
      <c r="B95" s="157" cm="1">
        <f t="array" ref="B95">INDEX(tbl_Ledger[Row ID],ROWS($B$27:$B95))</f>
        <v>69</v>
      </c>
      <c r="C95" s="158" cm="1">
        <f t="array" ref="C95">INDEX(tbl_Ledger[Date],ROWS($B$27:$B95))</f>
        <v>46080</v>
      </c>
      <c r="D95" s="157" t="str" cm="1">
        <f t="array" ref="D95">IF(INDEX(tbl_Ledger[Invoice Number],ROWS($B$27:$B95))="","",INDEX(tbl_Ledger[Invoice Number],ROWS($B$27:$B95)))</f>
        <v>SIN-2026-0024</v>
      </c>
      <c r="E95" s="157" t="str" cm="1">
        <f t="array" ref="E95">INDEX(tbl_Ledger[Tax Category],ROWS($B$27:$B95))</f>
        <v>IN_NONDED</v>
      </c>
      <c r="F95" s="157" t="str" cm="1">
        <f t="array" ref="F95">INDEX(tbl_Ledger[Direction],ROWS($B$27:$B95))</f>
        <v>Outflow</v>
      </c>
      <c r="G95" s="159" cm="1">
        <f t="array" ref="G95">INDEX(tbl_Ledger[Tax Charged on Invoice],ROWS($B$27:$B95))</f>
        <v>2053.6</v>
      </c>
      <c r="H95" s="159" cm="1">
        <f t="array" ref="H95">INDEX(tbl_Ledger[Expected Total Tax],ROWS($B$27:$B95))</f>
        <v>2053.6</v>
      </c>
      <c r="I95" s="159" t="str" cm="1">
        <f t="array" ref="I95">INDEX(tbl_Ledger[Description],ROWS($B$27:$B95))</f>
        <v>Client entertainment - business development</v>
      </c>
      <c r="J95" s="159" t="str" cm="1">
        <f t="array" ref="J95">INDEX(tbl_Ledger[Counterparty],ROWS($B$27:$B95))</f>
        <v>Sunset Lounge Ltd</v>
      </c>
      <c r="K95" s="160" t="str">
        <f>IF(COUNTIF(Dup_Exclusions,$E95)&gt;0,"No","Yes")</f>
        <v>Yes</v>
      </c>
      <c r="L95" s="161" t="str">
        <f>IF(AND($D95="",COUNTIF(NoInv_Exempt,$E95)=0),"Yes","No")</f>
        <v>No</v>
      </c>
      <c r="M95" s="161" t="str" cm="1">
        <f t="array" ref="M95">IF(AND($D95&lt;&gt;"",$K95="Yes"),IF(SUMPRODUCT((tbl_Ledger[Invoice Number]=$D95)*(COUNTIF(Dup_Exclusions,tbl_Ledger[Tax Category])=0))&gt;1,"Yes","No"),"No")</f>
        <v>No</v>
      </c>
      <c r="N95" s="161" t="str">
        <f>IF(ABS($G95-$H95)&gt;Tax_Tolerance,"Yes","No")</f>
        <v>No</v>
      </c>
      <c r="O95" s="161" t="str">
        <f>IF(OR(AND($F95="Inflow",LEFT($E95,LEN(Prefix_Outflow))=Prefix_Outflow),AND($F95="Outflow",LEFT($E95,LEN(Prefix_Inflow))=Prefix_Inflow)),"Yes","No")</f>
        <v>No</v>
      </c>
      <c r="P95" s="161" t="str" cm="1">
        <f t="array" ref="P95">IF(AND(COUNTIF(Suspect_Categories,$E95)&gt;0,SUMPRODUCT(--ISNUMBER(SEARCH(Suspect_Keywords,$I95&amp;" "&amp;$J95)))&gt;0),"Yes","No")</f>
        <v>No</v>
      </c>
      <c r="Q95" s="161" t="str">
        <f t="shared" si="0"/>
        <v>No</v>
      </c>
    </row>
    <row r="96" spans="1:17" x14ac:dyDescent="0.3">
      <c r="A96" s="11"/>
      <c r="B96" s="157" cm="1">
        <f t="array" ref="B96">INDEX(tbl_Ledger[Row ID],ROWS($B$27:$B96))</f>
        <v>70</v>
      </c>
      <c r="C96" s="158" cm="1">
        <f t="array" ref="C96">INDEX(tbl_Ledger[Date],ROWS($B$27:$B96))</f>
        <v>46080</v>
      </c>
      <c r="D96" s="157" t="str" cm="1">
        <f t="array" ref="D96">IF(INDEX(tbl_Ledger[Invoice Number],ROWS($B$27:$B96))="","",INDEX(tbl_Ledger[Invoice Number],ROWS($B$27:$B96)))</f>
        <v>NHL-2026-0090</v>
      </c>
      <c r="E96" s="157" t="str" cm="1">
        <f t="array" ref="E96">INDEX(tbl_Ledger[Tax Category],ROWS($B$27:$B96))</f>
        <v>OUT_STD</v>
      </c>
      <c r="F96" s="157" t="str" cm="1">
        <f t="array" ref="F96">INDEX(tbl_Ledger[Direction],ROWS($B$27:$B96))</f>
        <v>Inflow</v>
      </c>
      <c r="G96" s="159" cm="1">
        <f t="array" ref="G96">INDEX(tbl_Ledger[Tax Charged on Invoice],ROWS($B$27:$B96))</f>
        <v>12132.4</v>
      </c>
      <c r="H96" s="159" cm="1">
        <f t="array" ref="H96">INDEX(tbl_Ledger[Expected Total Tax],ROWS($B$27:$B96))</f>
        <v>12132.399999999998</v>
      </c>
      <c r="I96" s="159" t="str" cm="1">
        <f t="array" ref="I96">INDEX(tbl_Ledger[Description],ROWS($B$27:$B96))</f>
        <v>Bulk haulage of AGO, Takoradi-Tamale, 2 trips</v>
      </c>
      <c r="J96" s="159" t="str" cm="1">
        <f t="array" ref="J96">INDEX(tbl_Ledger[Counterparty],ROWS($B$27:$B96))</f>
        <v>Adinkra Oil Marketing Ltd</v>
      </c>
      <c r="K96" s="160" t="str">
        <f>IF(COUNTIF(Dup_Exclusions,$E96)&gt;0,"No","Yes")</f>
        <v>Yes</v>
      </c>
      <c r="L96" s="161" t="str">
        <f>IF(AND($D96="",COUNTIF(NoInv_Exempt,$E96)=0),"Yes","No")</f>
        <v>No</v>
      </c>
      <c r="M96" s="161" t="str" cm="1">
        <f t="array" ref="M96">IF(AND($D96&lt;&gt;"",$K96="Yes"),IF(SUMPRODUCT((tbl_Ledger[Invoice Number]=$D96)*(COUNTIF(Dup_Exclusions,tbl_Ledger[Tax Category])=0))&gt;1,"Yes","No"),"No")</f>
        <v>Yes</v>
      </c>
      <c r="N96" s="161" t="str">
        <f>IF(ABS($G96-$H96)&gt;Tax_Tolerance,"Yes","No")</f>
        <v>No</v>
      </c>
      <c r="O96" s="161" t="str">
        <f>IF(OR(AND($F96="Inflow",LEFT($E96,LEN(Prefix_Outflow))=Prefix_Outflow),AND($F96="Outflow",LEFT($E96,LEN(Prefix_Inflow))=Prefix_Inflow)),"Yes","No")</f>
        <v>No</v>
      </c>
      <c r="P96" s="161" t="str" cm="1">
        <f t="array" ref="P96">IF(AND(COUNTIF(Suspect_Categories,$E96)&gt;0,SUMPRODUCT(--ISNUMBER(SEARCH(Suspect_Keywords,$I96&amp;" "&amp;$J96)))&gt;0),"Yes","No")</f>
        <v>No</v>
      </c>
      <c r="Q96" s="161" t="str">
        <f t="shared" si="0"/>
        <v>Yes</v>
      </c>
    </row>
    <row r="97" spans="1:17" x14ac:dyDescent="0.3">
      <c r="A97" s="11"/>
      <c r="B97" s="157" cm="1">
        <f t="array" ref="B97">INDEX(tbl_Ledger[Row ID],ROWS($B$27:$B97))</f>
        <v>71</v>
      </c>
      <c r="C97" s="158" cm="1">
        <f t="array" ref="C97">INDEX(tbl_Ledger[Date],ROWS($B$27:$B97))</f>
        <v>46081</v>
      </c>
      <c r="D97" s="157" t="str" cm="1">
        <f t="array" ref="D97">IF(INDEX(tbl_Ledger[Invoice Number],ROWS($B$27:$B97))="","",INDEX(tbl_Ledger[Invoice Number],ROWS($B$27:$B97)))</f>
        <v>SIN-2026-0025</v>
      </c>
      <c r="E97" s="157" t="str" cm="1">
        <f t="array" ref="E97">INDEX(tbl_Ledger[Tax Category],ROWS($B$27:$B97))</f>
        <v>IN_EXEMPT</v>
      </c>
      <c r="F97" s="157" t="str" cm="1">
        <f t="array" ref="F97">INDEX(tbl_Ledger[Direction],ROWS($B$27:$B97))</f>
        <v>Outflow</v>
      </c>
      <c r="G97" s="159" cm="1">
        <f t="array" ref="G97">INDEX(tbl_Ledger[Tax Charged on Invoice],ROWS($B$27:$B97))</f>
        <v>0</v>
      </c>
      <c r="H97" s="159" cm="1">
        <f t="array" ref="H97">INDEX(tbl_Ledger[Expected Total Tax],ROWS($B$27:$B97))</f>
        <v>0</v>
      </c>
      <c r="I97" s="159" t="str" cm="1">
        <f t="array" ref="I97">INDEX(tbl_Ledger[Description],ROWS($B$27:$B97))</f>
        <v>Third-party liability cover premium</v>
      </c>
      <c r="J97" s="159" t="str" cm="1">
        <f t="array" ref="J97">INDEX(tbl_Ledger[Counterparty],ROWS($B$27:$B97))</f>
        <v>Unity Assurance Ltd</v>
      </c>
      <c r="K97" s="160" t="str">
        <f>IF(COUNTIF(Dup_Exclusions,$E97)&gt;0,"No","Yes")</f>
        <v>Yes</v>
      </c>
      <c r="L97" s="161" t="str">
        <f>IF(AND($D97="",COUNTIF(NoInv_Exempt,$E97)=0),"Yes","No")</f>
        <v>No</v>
      </c>
      <c r="M97" s="161" t="str" cm="1">
        <f t="array" ref="M97">IF(AND($D97&lt;&gt;"",$K97="Yes"),IF(SUMPRODUCT((tbl_Ledger[Invoice Number]=$D97)*(COUNTIF(Dup_Exclusions,tbl_Ledger[Tax Category])=0))&gt;1,"Yes","No"),"No")</f>
        <v>No</v>
      </c>
      <c r="N97" s="161" t="str">
        <f>IF(ABS($G97-$H97)&gt;Tax_Tolerance,"Yes","No")</f>
        <v>No</v>
      </c>
      <c r="O97" s="161" t="str">
        <f>IF(OR(AND($F97="Inflow",LEFT($E97,LEN(Prefix_Outflow))=Prefix_Outflow),AND($F97="Outflow",LEFT($E97,LEN(Prefix_Inflow))=Prefix_Inflow)),"Yes","No")</f>
        <v>No</v>
      </c>
      <c r="P97" s="161" t="str" cm="1">
        <f t="array" ref="P97">IF(AND(COUNTIF(Suspect_Categories,$E97)&gt;0,SUMPRODUCT(--ISNUMBER(SEARCH(Suspect_Keywords,$I97&amp;" "&amp;$J97)))&gt;0),"Yes","No")</f>
        <v>No</v>
      </c>
      <c r="Q97" s="161" t="str">
        <f t="shared" si="0"/>
        <v>No</v>
      </c>
    </row>
    <row r="98" spans="1:17" x14ac:dyDescent="0.3">
      <c r="A98" s="11"/>
      <c r="B98" s="157" cm="1">
        <f t="array" ref="B98">INDEX(tbl_Ledger[Row ID],ROWS($B$27:$B98))</f>
        <v>72</v>
      </c>
      <c r="C98" s="158" cm="1">
        <f t="array" ref="C98">INDEX(tbl_Ledger[Date],ROWS($B$27:$B98))</f>
        <v>46081</v>
      </c>
      <c r="D98" s="157" t="str" cm="1">
        <f t="array" ref="D98">IF(INDEX(tbl_Ledger[Invoice Number],ROWS($B$27:$B98))="","",INDEX(tbl_Ledger[Invoice Number],ROWS($B$27:$B98)))</f>
        <v>JNL-2026-0001</v>
      </c>
      <c r="E98" s="157" t="str" cm="1">
        <f t="array" ref="E98">INDEX(tbl_Ledger[Tax Category],ROWS($B$27:$B98))</f>
        <v>NO_VAT</v>
      </c>
      <c r="F98" s="157" t="str" cm="1">
        <f t="array" ref="F98">INDEX(tbl_Ledger[Direction],ROWS($B$27:$B98))</f>
        <v>Outflow</v>
      </c>
      <c r="G98" s="159" cm="1">
        <f t="array" ref="G98">INDEX(tbl_Ledger[Tax Charged on Invoice],ROWS($B$27:$B98))</f>
        <v>0</v>
      </c>
      <c r="H98" s="159" cm="1">
        <f t="array" ref="H98">INDEX(tbl_Ledger[Expected Total Tax],ROWS($B$27:$B98))</f>
        <v>0</v>
      </c>
      <c r="I98" s="159" t="str" cm="1">
        <f t="array" ref="I98">INDEX(tbl_Ledger[Description],ROWS($B$27:$B98))</f>
        <v>Withholding tax remitted to GRA</v>
      </c>
      <c r="J98" s="159" t="str" cm="1">
        <f t="array" ref="J98">INDEX(tbl_Ledger[Counterparty],ROWS($B$27:$B98))</f>
        <v>Ghana Revenue Authority</v>
      </c>
      <c r="K98" s="160" t="str">
        <f>IF(COUNTIF(Dup_Exclusions,$E98)&gt;0,"No","Yes")</f>
        <v>Yes</v>
      </c>
      <c r="L98" s="161" t="str">
        <f>IF(AND($D98="",COUNTIF(NoInv_Exempt,$E98)=0),"Yes","No")</f>
        <v>No</v>
      </c>
      <c r="M98" s="161" t="str" cm="1">
        <f t="array" ref="M98">IF(AND($D98&lt;&gt;"",$K98="Yes"),IF(SUMPRODUCT((tbl_Ledger[Invoice Number]=$D98)*(COUNTIF(Dup_Exclusions,tbl_Ledger[Tax Category])=0))&gt;1,"Yes","No"),"No")</f>
        <v>No</v>
      </c>
      <c r="N98" s="161" t="str">
        <f>IF(ABS($G98-$H98)&gt;Tax_Tolerance,"Yes","No")</f>
        <v>No</v>
      </c>
      <c r="O98" s="161" t="str">
        <f>IF(OR(AND($F98="Inflow",LEFT($E98,LEN(Prefix_Outflow))=Prefix_Outflow),AND($F98="Outflow",LEFT($E98,LEN(Prefix_Inflow))=Prefix_Inflow)),"Yes","No")</f>
        <v>No</v>
      </c>
      <c r="P98" s="161" t="str" cm="1">
        <f t="array" ref="P98">IF(AND(COUNTIF(Suspect_Categories,$E98)&gt;0,SUMPRODUCT(--ISNUMBER(SEARCH(Suspect_Keywords,$I98&amp;" "&amp;$J98)))&gt;0),"Yes","No")</f>
        <v>No</v>
      </c>
      <c r="Q98" s="161" t="str">
        <f t="shared" si="0"/>
        <v>No</v>
      </c>
    </row>
    <row r="99" spans="1:17" x14ac:dyDescent="0.3">
      <c r="A99" s="11"/>
      <c r="B99" s="157" cm="1">
        <f t="array" ref="B99">INDEX(tbl_Ledger[Row ID],ROWS($B$27:$B99))</f>
        <v>73</v>
      </c>
      <c r="C99" s="158" cm="1">
        <f t="array" ref="C99">INDEX(tbl_Ledger[Date],ROWS($B$27:$B99))</f>
        <v>46081</v>
      </c>
      <c r="D99" s="157" t="str" cm="1">
        <f t="array" ref="D99">IF(INDEX(tbl_Ledger[Invoice Number],ROWS($B$27:$B99))="","",INDEX(tbl_Ledger[Invoice Number],ROWS($B$27:$B99)))</f>
        <v>PAY-2026-0002</v>
      </c>
      <c r="E99" s="157" t="str" cm="1">
        <f t="array" ref="E99">INDEX(tbl_Ledger[Tax Category],ROWS($B$27:$B99))</f>
        <v>NO_VAT</v>
      </c>
      <c r="F99" s="157" t="str" cm="1">
        <f t="array" ref="F99">INDEX(tbl_Ledger[Direction],ROWS($B$27:$B99))</f>
        <v>Outflow</v>
      </c>
      <c r="G99" s="159" cm="1">
        <f t="array" ref="G99">INDEX(tbl_Ledger[Tax Charged on Invoice],ROWS($B$27:$B99))</f>
        <v>0</v>
      </c>
      <c r="H99" s="159" cm="1">
        <f t="array" ref="H99">INDEX(tbl_Ledger[Expected Total Tax],ROWS($B$27:$B99))</f>
        <v>0</v>
      </c>
      <c r="I99" s="159" t="str" cm="1">
        <f t="array" ref="I99">INDEX(tbl_Ledger[Description],ROWS($B$27:$B99))</f>
        <v>Staff salaries and wages - February</v>
      </c>
      <c r="J99" s="159" t="str" cm="1">
        <f t="array" ref="J99">INDEX(tbl_Ledger[Counterparty],ROWS($B$27:$B99))</f>
        <v>Nkabom Haulage Payroll</v>
      </c>
      <c r="K99" s="160" t="str">
        <f>IF(COUNTIF(Dup_Exclusions,$E99)&gt;0,"No","Yes")</f>
        <v>Yes</v>
      </c>
      <c r="L99" s="161" t="str">
        <f>IF(AND($D99="",COUNTIF(NoInv_Exempt,$E99)=0),"Yes","No")</f>
        <v>No</v>
      </c>
      <c r="M99" s="161" t="str" cm="1">
        <f t="array" ref="M99">IF(AND($D99&lt;&gt;"",$K99="Yes"),IF(SUMPRODUCT((tbl_Ledger[Invoice Number]=$D99)*(COUNTIF(Dup_Exclusions,tbl_Ledger[Tax Category])=0))&gt;1,"Yes","No"),"No")</f>
        <v>No</v>
      </c>
      <c r="N99" s="161" t="str">
        <f>IF(ABS($G99-$H99)&gt;Tax_Tolerance,"Yes","No")</f>
        <v>No</v>
      </c>
      <c r="O99" s="161" t="str">
        <f>IF(OR(AND($F99="Inflow",LEFT($E99,LEN(Prefix_Outflow))=Prefix_Outflow),AND($F99="Outflow",LEFT($E99,LEN(Prefix_Inflow))=Prefix_Inflow)),"Yes","No")</f>
        <v>No</v>
      </c>
      <c r="P99" s="161" t="str" cm="1">
        <f t="array" ref="P99">IF(AND(COUNTIF(Suspect_Categories,$E99)&gt;0,SUMPRODUCT(--ISNUMBER(SEARCH(Suspect_Keywords,$I99&amp;" "&amp;$J99)))&gt;0),"Yes","No")</f>
        <v>No</v>
      </c>
      <c r="Q99" s="161" t="str">
        <f t="shared" si="0"/>
        <v>No</v>
      </c>
    </row>
    <row r="100" spans="1:17" x14ac:dyDescent="0.3">
      <c r="A100" s="11"/>
      <c r="B100" s="157" cm="1">
        <f t="array" ref="B100">INDEX(tbl_Ledger[Row ID],ROWS($B$27:$B100))</f>
        <v>74</v>
      </c>
      <c r="C100" s="158" cm="1">
        <f t="array" ref="C100">INDEX(tbl_Ledger[Date],ROWS($B$27:$B100))</f>
        <v>46081</v>
      </c>
      <c r="D100" s="157" t="str" cm="1">
        <f t="array" ref="D100">IF(INDEX(tbl_Ledger[Invoice Number],ROWS($B$27:$B100))="","",INDEX(tbl_Ledger[Invoice Number],ROWS($B$27:$B100)))</f>
        <v>NHL-2026-0035</v>
      </c>
      <c r="E100" s="157" t="str" cm="1">
        <f t="array" ref="E100">INDEX(tbl_Ledger[Tax Category],ROWS($B$27:$B100))</f>
        <v>OUT_STD</v>
      </c>
      <c r="F100" s="157" t="str" cm="1">
        <f t="array" ref="F100">INDEX(tbl_Ledger[Direction],ROWS($B$27:$B100))</f>
        <v>Inflow</v>
      </c>
      <c r="G100" s="159" cm="1">
        <f t="array" ref="G100">INDEX(tbl_Ledger[Tax Charged on Invoice],ROWS($B$27:$B100))</f>
        <v>6802.8</v>
      </c>
      <c r="H100" s="159" cm="1">
        <f t="array" ref="H100">INDEX(tbl_Ledger[Expected Total Tax],ROWS($B$27:$B100))</f>
        <v>6802.8</v>
      </c>
      <c r="I100" s="159" t="str" cm="1">
        <f t="array" ref="I100">INDEX(tbl_Ledger[Description],ROWS($B$27:$B100))</f>
        <v>Bulk haulage of PMS, Tema-Ho, 8 trips</v>
      </c>
      <c r="J100" s="159" t="str" cm="1">
        <f t="array" ref="J100">INDEX(tbl_Ledger[Counterparty],ROWS($B$27:$B100))</f>
        <v>Golden Harmattan Energy Ltd</v>
      </c>
      <c r="K100" s="160" t="str">
        <f>IF(COUNTIF(Dup_Exclusions,$E100)&gt;0,"No","Yes")</f>
        <v>Yes</v>
      </c>
      <c r="L100" s="161" t="str">
        <f>IF(AND($D100="",COUNTIF(NoInv_Exempt,$E100)=0),"Yes","No")</f>
        <v>No</v>
      </c>
      <c r="M100" s="161" t="str" cm="1">
        <f t="array" ref="M100">IF(AND($D100&lt;&gt;"",$K100="Yes"),IF(SUMPRODUCT((tbl_Ledger[Invoice Number]=$D100)*(COUNTIF(Dup_Exclusions,tbl_Ledger[Tax Category])=0))&gt;1,"Yes","No"),"No")</f>
        <v>No</v>
      </c>
      <c r="N100" s="161" t="str">
        <f>IF(ABS($G100-$H100)&gt;Tax_Tolerance,"Yes","No")</f>
        <v>No</v>
      </c>
      <c r="O100" s="161" t="str">
        <f>IF(OR(AND($F100="Inflow",LEFT($E100,LEN(Prefix_Outflow))=Prefix_Outflow),AND($F100="Outflow",LEFT($E100,LEN(Prefix_Inflow))=Prefix_Inflow)),"Yes","No")</f>
        <v>No</v>
      </c>
      <c r="P100" s="161" t="str" cm="1">
        <f t="array" ref="P100">IF(AND(COUNTIF(Suspect_Categories,$E100)&gt;0,SUMPRODUCT(--ISNUMBER(SEARCH(Suspect_Keywords,$I100&amp;" "&amp;$J100)))&gt;0),"Yes","No")</f>
        <v>No</v>
      </c>
      <c r="Q100" s="161" t="str">
        <f t="shared" si="0"/>
        <v>No</v>
      </c>
    </row>
    <row r="101" spans="1:17" x14ac:dyDescent="0.3">
      <c r="A101" s="11"/>
      <c r="B101" s="157" cm="1">
        <f t="array" ref="B101">INDEX(tbl_Ledger[Row ID],ROWS($B$27:$B101))</f>
        <v>75</v>
      </c>
      <c r="C101" s="158" cm="1">
        <f t="array" ref="C101">INDEX(tbl_Ledger[Date],ROWS($B$27:$B101))</f>
        <v>46082</v>
      </c>
      <c r="D101" s="157" t="str" cm="1">
        <f t="array" ref="D101">IF(INDEX(tbl_Ledger[Invoice Number],ROWS($B$27:$B101))="","",INDEX(tbl_Ledger[Invoice Number],ROWS($B$27:$B101)))</f>
        <v>BNK-2026-0006</v>
      </c>
      <c r="E101" s="157" t="str" cm="1">
        <f t="array" ref="E101">INDEX(tbl_Ledger[Tax Category],ROWS($B$27:$B101))</f>
        <v>IN_EXEMPT</v>
      </c>
      <c r="F101" s="157" t="str" cm="1">
        <f t="array" ref="F101">INDEX(tbl_Ledger[Direction],ROWS($B$27:$B101))</f>
        <v>Outflow</v>
      </c>
      <c r="G101" s="159" cm="1">
        <f t="array" ref="G101">INDEX(tbl_Ledger[Tax Charged on Invoice],ROWS($B$27:$B101))</f>
        <v>0</v>
      </c>
      <c r="H101" s="159" cm="1">
        <f t="array" ref="H101">INDEX(tbl_Ledger[Expected Total Tax],ROWS($B$27:$B101))</f>
        <v>0</v>
      </c>
      <c r="I101" s="159" t="str" cm="1">
        <f t="array" ref="I101">INDEX(tbl_Ledger[Description],ROWS($B$27:$B101))</f>
        <v>Transfer and settlement charges</v>
      </c>
      <c r="J101" s="159" t="str" cm="1">
        <f t="array" ref="J101">INDEX(tbl_Ledger[Counterparty],ROWS($B$27:$B101))</f>
        <v>Meridian Bank Ghana Ltd</v>
      </c>
      <c r="K101" s="160" t="str">
        <f>IF(COUNTIF(Dup_Exclusions,$E101)&gt;0,"No","Yes")</f>
        <v>Yes</v>
      </c>
      <c r="L101" s="161" t="str">
        <f>IF(AND($D101="",COUNTIF(NoInv_Exempt,$E101)=0),"Yes","No")</f>
        <v>No</v>
      </c>
      <c r="M101" s="161" t="str" cm="1">
        <f t="array" ref="M101">IF(AND($D101&lt;&gt;"",$K101="Yes"),IF(SUMPRODUCT((tbl_Ledger[Invoice Number]=$D101)*(COUNTIF(Dup_Exclusions,tbl_Ledger[Tax Category])=0))&gt;1,"Yes","No"),"No")</f>
        <v>No</v>
      </c>
      <c r="N101" s="161" t="str">
        <f>IF(ABS($G101-$H101)&gt;Tax_Tolerance,"Yes","No")</f>
        <v>No</v>
      </c>
      <c r="O101" s="161" t="str">
        <f>IF(OR(AND($F101="Inflow",LEFT($E101,LEN(Prefix_Outflow))=Prefix_Outflow),AND($F101="Outflow",LEFT($E101,LEN(Prefix_Inflow))=Prefix_Inflow)),"Yes","No")</f>
        <v>No</v>
      </c>
      <c r="P101" s="161" t="str" cm="1">
        <f t="array" ref="P101">IF(AND(COUNTIF(Suspect_Categories,$E101)&gt;0,SUMPRODUCT(--ISNUMBER(SEARCH(Suspect_Keywords,$I101&amp;" "&amp;$J101)))&gt;0),"Yes","No")</f>
        <v>No</v>
      </c>
      <c r="Q101" s="161" t="str">
        <f t="shared" si="0"/>
        <v>No</v>
      </c>
    </row>
    <row r="102" spans="1:17" x14ac:dyDescent="0.3">
      <c r="A102" s="11"/>
      <c r="B102" s="157" cm="1">
        <f t="array" ref="B102">INDEX(tbl_Ledger[Row ID],ROWS($B$27:$B102))</f>
        <v>76</v>
      </c>
      <c r="C102" s="158" cm="1">
        <f t="array" ref="C102">INDEX(tbl_Ledger[Date],ROWS($B$27:$B102))</f>
        <v>46082</v>
      </c>
      <c r="D102" s="157" t="str" cm="1">
        <f t="array" ref="D102">IF(INDEX(tbl_Ledger[Invoice Number],ROWS($B$27:$B102))="","",INDEX(tbl_Ledger[Invoice Number],ROWS($B$27:$B102)))</f>
        <v>SIN-2026-0026</v>
      </c>
      <c r="E102" s="157" t="str" cm="1">
        <f t="array" ref="E102">INDEX(tbl_Ledger[Tax Category],ROWS($B$27:$B102))</f>
        <v>IN_EXEMPT</v>
      </c>
      <c r="F102" s="157" t="str" cm="1">
        <f t="array" ref="F102">INDEX(tbl_Ledger[Direction],ROWS($B$27:$B102))</f>
        <v>Outflow</v>
      </c>
      <c r="G102" s="159" cm="1">
        <f t="array" ref="G102">INDEX(tbl_Ledger[Tax Charged on Invoice],ROWS($B$27:$B102))</f>
        <v>0</v>
      </c>
      <c r="H102" s="159" cm="1">
        <f t="array" ref="H102">INDEX(tbl_Ledger[Expected Total Tax],ROWS($B$27:$B102))</f>
        <v>0</v>
      </c>
      <c r="I102" s="159" t="str" cm="1">
        <f t="array" ref="I102">INDEX(tbl_Ledger[Description],ROWS($B$27:$B102))</f>
        <v>Diesel (AGO) purchased for own fleet use, 19,460 litres</v>
      </c>
      <c r="J102" s="159" t="str" cm="1">
        <f t="array" ref="J102">INDEX(tbl_Ledger[Counterparty],ROWS($B$27:$B102))</f>
        <v>Zenith Fuel Depot Ltd</v>
      </c>
      <c r="K102" s="160" t="str">
        <f>IF(COUNTIF(Dup_Exclusions,$E102)&gt;0,"No","Yes")</f>
        <v>Yes</v>
      </c>
      <c r="L102" s="161" t="str">
        <f>IF(AND($D102="",COUNTIF(NoInv_Exempt,$E102)=0),"Yes","No")</f>
        <v>No</v>
      </c>
      <c r="M102" s="161" t="str" cm="1">
        <f t="array" ref="M102">IF(AND($D102&lt;&gt;"",$K102="Yes"),IF(SUMPRODUCT((tbl_Ledger[Invoice Number]=$D102)*(COUNTIF(Dup_Exclusions,tbl_Ledger[Tax Category])=0))&gt;1,"Yes","No"),"No")</f>
        <v>No</v>
      </c>
      <c r="N102" s="161" t="str">
        <f>IF(ABS($G102-$H102)&gt;Tax_Tolerance,"Yes","No")</f>
        <v>No</v>
      </c>
      <c r="O102" s="161" t="str">
        <f>IF(OR(AND($F102="Inflow",LEFT($E102,LEN(Prefix_Outflow))=Prefix_Outflow),AND($F102="Outflow",LEFT($E102,LEN(Prefix_Inflow))=Prefix_Inflow)),"Yes","No")</f>
        <v>No</v>
      </c>
      <c r="P102" s="161" t="str" cm="1">
        <f t="array" ref="P102">IF(AND(COUNTIF(Suspect_Categories,$E102)&gt;0,SUMPRODUCT(--ISNUMBER(SEARCH(Suspect_Keywords,$I102&amp;" "&amp;$J102)))&gt;0),"Yes","No")</f>
        <v>No</v>
      </c>
      <c r="Q102" s="161" t="str">
        <f t="shared" si="0"/>
        <v>No</v>
      </c>
    </row>
    <row r="103" spans="1:17" x14ac:dyDescent="0.3">
      <c r="A103" s="11"/>
      <c r="B103" s="157" cm="1">
        <f t="array" ref="B103">INDEX(tbl_Ledger[Row ID],ROWS($B$27:$B103))</f>
        <v>77</v>
      </c>
      <c r="C103" s="158" cm="1">
        <f t="array" ref="C103">INDEX(tbl_Ledger[Date],ROWS($B$27:$B103))</f>
        <v>46082</v>
      </c>
      <c r="D103" s="157" t="str" cm="1">
        <f t="array" ref="D103">IF(INDEX(tbl_Ledger[Invoice Number],ROWS($B$27:$B103))="","",INDEX(tbl_Ledger[Invoice Number],ROWS($B$27:$B103)))</f>
        <v>SIN-2026-0027</v>
      </c>
      <c r="E103" s="157" t="str" cm="1">
        <f t="array" ref="E103">INDEX(tbl_Ledger[Tax Category],ROWS($B$27:$B103))</f>
        <v>IN_STD</v>
      </c>
      <c r="F103" s="157" t="str" cm="1">
        <f t="array" ref="F103">INDEX(tbl_Ledger[Direction],ROWS($B$27:$B103))</f>
        <v>Outflow</v>
      </c>
      <c r="G103" s="159" cm="1">
        <f t="array" ref="G103">INDEX(tbl_Ledger[Tax Charged on Invoice],ROWS($B$27:$B103))</f>
        <v>682.6</v>
      </c>
      <c r="H103" s="159" cm="1">
        <f t="array" ref="H103">INDEX(tbl_Ledger[Expected Total Tax],ROWS($B$27:$B103))</f>
        <v>682.6</v>
      </c>
      <c r="I103" s="159" t="str" cm="1">
        <f t="array" ref="I103">INDEX(tbl_Ledger[Description],ROWS($B$27:$B103))</f>
        <v>Mobile and data services</v>
      </c>
      <c r="J103" s="159" t="str" cm="1">
        <f t="array" ref="J103">INDEX(tbl_Ledger[Counterparty],ROWS($B$27:$B103))</f>
        <v>Kumasi Tyre Centre Ltd</v>
      </c>
      <c r="K103" s="160" t="str">
        <f>IF(COUNTIF(Dup_Exclusions,$E103)&gt;0,"No","Yes")</f>
        <v>Yes</v>
      </c>
      <c r="L103" s="161" t="str">
        <f>IF(AND($D103="",COUNTIF(NoInv_Exempt,$E103)=0),"Yes","No")</f>
        <v>No</v>
      </c>
      <c r="M103" s="161" t="str" cm="1">
        <f t="array" ref="M103">IF(AND($D103&lt;&gt;"",$K103="Yes"),IF(SUMPRODUCT((tbl_Ledger[Invoice Number]=$D103)*(COUNTIF(Dup_Exclusions,tbl_Ledger[Tax Category])=0))&gt;1,"Yes","No"),"No")</f>
        <v>No</v>
      </c>
      <c r="N103" s="161" t="str">
        <f>IF(ABS($G103-$H103)&gt;Tax_Tolerance,"Yes","No")</f>
        <v>No</v>
      </c>
      <c r="O103" s="161" t="str">
        <f>IF(OR(AND($F103="Inflow",LEFT($E103,LEN(Prefix_Outflow))=Prefix_Outflow),AND($F103="Outflow",LEFT($E103,LEN(Prefix_Inflow))=Prefix_Inflow)),"Yes","No")</f>
        <v>No</v>
      </c>
      <c r="P103" s="161" t="str" cm="1">
        <f t="array" ref="P103">IF(AND(COUNTIF(Suspect_Categories,$E103)&gt;0,SUMPRODUCT(--ISNUMBER(SEARCH(Suspect_Keywords,$I103&amp;" "&amp;$J103)))&gt;0),"Yes","No")</f>
        <v>No</v>
      </c>
      <c r="Q103" s="161" t="str">
        <f t="shared" si="0"/>
        <v>No</v>
      </c>
    </row>
    <row r="104" spans="1:17" x14ac:dyDescent="0.3">
      <c r="A104" s="11"/>
      <c r="B104" s="157" cm="1">
        <f t="array" ref="B104">INDEX(tbl_Ledger[Row ID],ROWS($B$27:$B104))</f>
        <v>78</v>
      </c>
      <c r="C104" s="158" cm="1">
        <f t="array" ref="C104">INDEX(tbl_Ledger[Date],ROWS($B$27:$B104))</f>
        <v>46083</v>
      </c>
      <c r="D104" s="157" t="str" cm="1">
        <f t="array" ref="D104">IF(INDEX(tbl_Ledger[Invoice Number],ROWS($B$27:$B104))="","",INDEX(tbl_Ledger[Invoice Number],ROWS($B$27:$B104)))</f>
        <v>NHL-2026-0036</v>
      </c>
      <c r="E104" s="157" t="str" cm="1">
        <f t="array" ref="E104">INDEX(tbl_Ledger[Tax Category],ROWS($B$27:$B104))</f>
        <v>OUT_STD</v>
      </c>
      <c r="F104" s="157" t="str" cm="1">
        <f t="array" ref="F104">INDEX(tbl_Ledger[Direction],ROWS($B$27:$B104))</f>
        <v>Inflow</v>
      </c>
      <c r="G104" s="159" cm="1">
        <f t="array" ref="G104">INDEX(tbl_Ledger[Tax Charged on Invoice],ROWS($B$27:$B104))</f>
        <v>10934.6</v>
      </c>
      <c r="H104" s="159" cm="1">
        <f t="array" ref="H104">INDEX(tbl_Ledger[Expected Total Tax],ROWS($B$27:$B104))</f>
        <v>10934.6</v>
      </c>
      <c r="I104" s="159" t="str" cm="1">
        <f t="array" ref="I104">INDEX(tbl_Ledger[Description],ROWS($B$27:$B104))</f>
        <v>Bulk haulage of LPG, Tema-Cape Coast, 5 trips</v>
      </c>
      <c r="J104" s="159" t="str" cm="1">
        <f t="array" ref="J104">INDEX(tbl_Ledger[Counterparty],ROWS($B$27:$B104))</f>
        <v>Tema Bulk Energy Ltd</v>
      </c>
      <c r="K104" s="160" t="str">
        <f>IF(COUNTIF(Dup_Exclusions,$E104)&gt;0,"No","Yes")</f>
        <v>Yes</v>
      </c>
      <c r="L104" s="161" t="str">
        <f>IF(AND($D104="",COUNTIF(NoInv_Exempt,$E104)=0),"Yes","No")</f>
        <v>No</v>
      </c>
      <c r="M104" s="161" t="str" cm="1">
        <f t="array" ref="M104">IF(AND($D104&lt;&gt;"",$K104="Yes"),IF(SUMPRODUCT((tbl_Ledger[Invoice Number]=$D104)*(COUNTIF(Dup_Exclusions,tbl_Ledger[Tax Category])=0))&gt;1,"Yes","No"),"No")</f>
        <v>No</v>
      </c>
      <c r="N104" s="161" t="str">
        <f>IF(ABS($G104-$H104)&gt;Tax_Tolerance,"Yes","No")</f>
        <v>No</v>
      </c>
      <c r="O104" s="161" t="str">
        <f>IF(OR(AND($F104="Inflow",LEFT($E104,LEN(Prefix_Outflow))=Prefix_Outflow),AND($F104="Outflow",LEFT($E104,LEN(Prefix_Inflow))=Prefix_Inflow)),"Yes","No")</f>
        <v>No</v>
      </c>
      <c r="P104" s="161" t="str" cm="1">
        <f t="array" ref="P104">IF(AND(COUNTIF(Suspect_Categories,$E104)&gt;0,SUMPRODUCT(--ISNUMBER(SEARCH(Suspect_Keywords,$I104&amp;" "&amp;$J104)))&gt;0),"Yes","No")</f>
        <v>No</v>
      </c>
      <c r="Q104" s="161" t="str">
        <f t="shared" si="0"/>
        <v>No</v>
      </c>
    </row>
    <row r="105" spans="1:17" x14ac:dyDescent="0.3">
      <c r="A105" s="11"/>
      <c r="B105" s="157" cm="1">
        <f t="array" ref="B105">INDEX(tbl_Ledger[Row ID],ROWS($B$27:$B105))</f>
        <v>79</v>
      </c>
      <c r="C105" s="158" cm="1">
        <f t="array" ref="C105">INDEX(tbl_Ledger[Date],ROWS($B$27:$B105))</f>
        <v>46086</v>
      </c>
      <c r="D105" s="157" t="str" cm="1">
        <f t="array" ref="D105">IF(INDEX(tbl_Ledger[Invoice Number],ROWS($B$27:$B105))="","",INDEX(tbl_Ledger[Invoice Number],ROWS($B$27:$B105)))</f>
        <v>NHL-2026-0037</v>
      </c>
      <c r="E105" s="157" t="str" cm="1">
        <f t="array" ref="E105">INDEX(tbl_Ledger[Tax Category],ROWS($B$27:$B105))</f>
        <v>OUT_STD</v>
      </c>
      <c r="F105" s="157" t="str" cm="1">
        <f t="array" ref="F105">INDEX(tbl_Ledger[Direction],ROWS($B$27:$B105))</f>
        <v>Inflow</v>
      </c>
      <c r="G105" s="159" cm="1">
        <f t="array" ref="G105">INDEX(tbl_Ledger[Tax Charged on Invoice],ROWS($B$27:$B105))</f>
        <v>10533.4</v>
      </c>
      <c r="H105" s="159" cm="1">
        <f t="array" ref="H105">INDEX(tbl_Ledger[Expected Total Tax],ROWS($B$27:$B105))</f>
        <v>10533.399999999998</v>
      </c>
      <c r="I105" s="159" t="str" cm="1">
        <f t="array" ref="I105">INDEX(tbl_Ledger[Description],ROWS($B$27:$B105))</f>
        <v>Bulk haulage of PMS, Tema-Ho, 8 trips</v>
      </c>
      <c r="J105" s="159" t="str" cm="1">
        <f t="array" ref="J105">INDEX(tbl_Ledger[Counterparty],ROWS($B$27:$B105))</f>
        <v>Northern Star BDC Ltd</v>
      </c>
      <c r="K105" s="160" t="str">
        <f>IF(COUNTIF(Dup_Exclusions,$E105)&gt;0,"No","Yes")</f>
        <v>Yes</v>
      </c>
      <c r="L105" s="161" t="str">
        <f>IF(AND($D105="",COUNTIF(NoInv_Exempt,$E105)=0),"Yes","No")</f>
        <v>No</v>
      </c>
      <c r="M105" s="161" t="str" cm="1">
        <f t="array" ref="M105">IF(AND($D105&lt;&gt;"",$K105="Yes"),IF(SUMPRODUCT((tbl_Ledger[Invoice Number]=$D105)*(COUNTIF(Dup_Exclusions,tbl_Ledger[Tax Category])=0))&gt;1,"Yes","No"),"No")</f>
        <v>No</v>
      </c>
      <c r="N105" s="161" t="str">
        <f>IF(ABS($G105-$H105)&gt;Tax_Tolerance,"Yes","No")</f>
        <v>No</v>
      </c>
      <c r="O105" s="161" t="str">
        <f>IF(OR(AND($F105="Inflow",LEFT($E105,LEN(Prefix_Outflow))=Prefix_Outflow),AND($F105="Outflow",LEFT($E105,LEN(Prefix_Inflow))=Prefix_Inflow)),"Yes","No")</f>
        <v>No</v>
      </c>
      <c r="P105" s="161" t="str" cm="1">
        <f t="array" ref="P105">IF(AND(COUNTIF(Suspect_Categories,$E105)&gt;0,SUMPRODUCT(--ISNUMBER(SEARCH(Suspect_Keywords,$I105&amp;" "&amp;$J105)))&gt;0),"Yes","No")</f>
        <v>No</v>
      </c>
      <c r="Q105" s="161" t="str">
        <f t="shared" si="0"/>
        <v>No</v>
      </c>
    </row>
    <row r="106" spans="1:17" x14ac:dyDescent="0.3">
      <c r="A106" s="11"/>
      <c r="B106" s="157" cm="1">
        <f t="array" ref="B106">INDEX(tbl_Ledger[Row ID],ROWS($B$27:$B106))</f>
        <v>80</v>
      </c>
      <c r="C106" s="158" cm="1">
        <f t="array" ref="C106">INDEX(tbl_Ledger[Date],ROWS($B$27:$B106))</f>
        <v>46087</v>
      </c>
      <c r="D106" s="157" t="str" cm="1">
        <f t="array" ref="D106">IF(INDEX(tbl_Ledger[Invoice Number],ROWS($B$27:$B106))="","",INDEX(tbl_Ledger[Invoice Number],ROWS($B$27:$B106)))</f>
        <v>SIN-2026-0028</v>
      </c>
      <c r="E106" s="157" t="str" cm="1">
        <f t="array" ref="E106">INDEX(tbl_Ledger[Tax Category],ROWS($B$27:$B106))</f>
        <v>IN_STD</v>
      </c>
      <c r="F106" s="157" t="str" cm="1">
        <f t="array" ref="F106">INDEX(tbl_Ledger[Direction],ROWS($B$27:$B106))</f>
        <v>Outflow</v>
      </c>
      <c r="G106" s="159" cm="1">
        <f t="array" ref="G106">INDEX(tbl_Ledger[Tax Charged on Invoice],ROWS($B$27:$B106))</f>
        <v>855</v>
      </c>
      <c r="H106" s="159" cm="1">
        <f t="array" ref="H106">INDEX(tbl_Ledger[Expected Total Tax],ROWS($B$27:$B106))</f>
        <v>855</v>
      </c>
      <c r="I106" s="159" t="str" cm="1">
        <f t="array" ref="I106">INDEX(tbl_Ledger[Description],ROWS($B$27:$B106))</f>
        <v>Depot security services</v>
      </c>
      <c r="J106" s="159" t="str" cm="1">
        <f t="array" ref="J106">INDEX(tbl_Ledger[Counterparty],ROWS($B$27:$B106))</f>
        <v>Castle Security Services Ltd</v>
      </c>
      <c r="K106" s="160" t="str">
        <f>IF(COUNTIF(Dup_Exclusions,$E106)&gt;0,"No","Yes")</f>
        <v>Yes</v>
      </c>
      <c r="L106" s="161" t="str">
        <f>IF(AND($D106="",COUNTIF(NoInv_Exempt,$E106)=0),"Yes","No")</f>
        <v>No</v>
      </c>
      <c r="M106" s="161" t="str" cm="1">
        <f t="array" ref="M106">IF(AND($D106&lt;&gt;"",$K106="Yes"),IF(SUMPRODUCT((tbl_Ledger[Invoice Number]=$D106)*(COUNTIF(Dup_Exclusions,tbl_Ledger[Tax Category])=0))&gt;1,"Yes","No"),"No")</f>
        <v>No</v>
      </c>
      <c r="N106" s="161" t="str">
        <f>IF(ABS($G106-$H106)&gt;Tax_Tolerance,"Yes","No")</f>
        <v>No</v>
      </c>
      <c r="O106" s="161" t="str">
        <f>IF(OR(AND($F106="Inflow",LEFT($E106,LEN(Prefix_Outflow))=Prefix_Outflow),AND($F106="Outflow",LEFT($E106,LEN(Prefix_Inflow))=Prefix_Inflow)),"Yes","No")</f>
        <v>No</v>
      </c>
      <c r="P106" s="161" t="str" cm="1">
        <f t="array" ref="P106">IF(AND(COUNTIF(Suspect_Categories,$E106)&gt;0,SUMPRODUCT(--ISNUMBER(SEARCH(Suspect_Keywords,$I106&amp;" "&amp;$J106)))&gt;0),"Yes","No")</f>
        <v>No</v>
      </c>
      <c r="Q106" s="161" t="str">
        <f t="shared" si="0"/>
        <v>No</v>
      </c>
    </row>
    <row r="107" spans="1:17" x14ac:dyDescent="0.3">
      <c r="A107" s="11"/>
      <c r="B107" s="157" cm="1">
        <f t="array" ref="B107">INDEX(tbl_Ledger[Row ID],ROWS($B$27:$B107))</f>
        <v>81</v>
      </c>
      <c r="C107" s="158" cm="1">
        <f t="array" ref="C107">INDEX(tbl_Ledger[Date],ROWS($B$27:$B107))</f>
        <v>46088</v>
      </c>
      <c r="D107" s="157" t="str" cm="1">
        <f t="array" ref="D107">IF(INDEX(tbl_Ledger[Invoice Number],ROWS($B$27:$B107))="","",INDEX(tbl_Ledger[Invoice Number],ROWS($B$27:$B107)))</f>
        <v>BNK-2026-0007</v>
      </c>
      <c r="E107" s="157" t="str" cm="1">
        <f t="array" ref="E107">INDEX(tbl_Ledger[Tax Category],ROWS($B$27:$B107))</f>
        <v>IN_EXEMPT</v>
      </c>
      <c r="F107" s="157" t="str" cm="1">
        <f t="array" ref="F107">INDEX(tbl_Ledger[Direction],ROWS($B$27:$B107))</f>
        <v>Outflow</v>
      </c>
      <c r="G107" s="159" cm="1">
        <f t="array" ref="G107">INDEX(tbl_Ledger[Tax Charged on Invoice],ROWS($B$27:$B107))</f>
        <v>0</v>
      </c>
      <c r="H107" s="159" cm="1">
        <f t="array" ref="H107">INDEX(tbl_Ledger[Expected Total Tax],ROWS($B$27:$B107))</f>
        <v>0</v>
      </c>
      <c r="I107" s="159" t="str" cm="1">
        <f t="array" ref="I107">INDEX(tbl_Ledger[Description],ROWS($B$27:$B107))</f>
        <v>Transfer and settlement charges</v>
      </c>
      <c r="J107" s="159" t="str" cm="1">
        <f t="array" ref="J107">INDEX(tbl_Ledger[Counterparty],ROWS($B$27:$B107))</f>
        <v>Trust Union Bank Ltd</v>
      </c>
      <c r="K107" s="160" t="str">
        <f>IF(COUNTIF(Dup_Exclusions,$E107)&gt;0,"No","Yes")</f>
        <v>Yes</v>
      </c>
      <c r="L107" s="161" t="str">
        <f>IF(AND($D107="",COUNTIF(NoInv_Exempt,$E107)=0),"Yes","No")</f>
        <v>No</v>
      </c>
      <c r="M107" s="161" t="str" cm="1">
        <f t="array" ref="M107">IF(AND($D107&lt;&gt;"",$K107="Yes"),IF(SUMPRODUCT((tbl_Ledger[Invoice Number]=$D107)*(COUNTIF(Dup_Exclusions,tbl_Ledger[Tax Category])=0))&gt;1,"Yes","No"),"No")</f>
        <v>No</v>
      </c>
      <c r="N107" s="161" t="str">
        <f>IF(ABS($G107-$H107)&gt;Tax_Tolerance,"Yes","No")</f>
        <v>No</v>
      </c>
      <c r="O107" s="161" t="str">
        <f>IF(OR(AND($F107="Inflow",LEFT($E107,LEN(Prefix_Outflow))=Prefix_Outflow),AND($F107="Outflow",LEFT($E107,LEN(Prefix_Inflow))=Prefix_Inflow)),"Yes","No")</f>
        <v>No</v>
      </c>
      <c r="P107" s="161" t="str" cm="1">
        <f t="array" ref="P107">IF(AND(COUNTIF(Suspect_Categories,$E107)&gt;0,SUMPRODUCT(--ISNUMBER(SEARCH(Suspect_Keywords,$I107&amp;" "&amp;$J107)))&gt;0),"Yes","No")</f>
        <v>No</v>
      </c>
      <c r="Q107" s="161" t="str">
        <f t="shared" si="0"/>
        <v>No</v>
      </c>
    </row>
    <row r="108" spans="1:17" x14ac:dyDescent="0.3">
      <c r="A108" s="11"/>
      <c r="B108" s="157" cm="1">
        <f t="array" ref="B108">INDEX(tbl_Ledger[Row ID],ROWS($B$27:$B108))</f>
        <v>82</v>
      </c>
      <c r="C108" s="158" cm="1">
        <f t="array" ref="C108">INDEX(tbl_Ledger[Date],ROWS($B$27:$B108))</f>
        <v>46090</v>
      </c>
      <c r="D108" s="157" t="str" cm="1">
        <f t="array" ref="D108">IF(INDEX(tbl_Ledger[Invoice Number],ROWS($B$27:$B108))="","",INDEX(tbl_Ledger[Invoice Number],ROWS($B$27:$B108)))</f>
        <v>SIN-2026-0029</v>
      </c>
      <c r="E108" s="157" t="str" cm="1">
        <f t="array" ref="E108">INDEX(tbl_Ledger[Tax Category],ROWS($B$27:$B108))</f>
        <v>IN_EXEMPT</v>
      </c>
      <c r="F108" s="157" t="str" cm="1">
        <f t="array" ref="F108">INDEX(tbl_Ledger[Direction],ROWS($B$27:$B108))</f>
        <v>Outflow</v>
      </c>
      <c r="G108" s="159" cm="1">
        <f t="array" ref="G108">INDEX(tbl_Ledger[Tax Charged on Invoice],ROWS($B$27:$B108))</f>
        <v>0</v>
      </c>
      <c r="H108" s="159" cm="1">
        <f t="array" ref="H108">INDEX(tbl_Ledger[Expected Total Tax],ROWS($B$27:$B108))</f>
        <v>0</v>
      </c>
      <c r="I108" s="159" t="str" cm="1">
        <f t="array" ref="I108">INDEX(tbl_Ledger[Description],ROWS($B$27:$B108))</f>
        <v>Diesel (AGO) purchased for own fleet use, 17,093 litres</v>
      </c>
      <c r="J108" s="159" t="str" cm="1">
        <f t="array" ref="J108">INDEX(tbl_Ledger[Counterparty],ROWS($B$27:$B108))</f>
        <v>Zenith Fuel Depot Ltd</v>
      </c>
      <c r="K108" s="160" t="str">
        <f>IF(COUNTIF(Dup_Exclusions,$E108)&gt;0,"No","Yes")</f>
        <v>Yes</v>
      </c>
      <c r="L108" s="161" t="str">
        <f>IF(AND($D108="",COUNTIF(NoInv_Exempt,$E108)=0),"Yes","No")</f>
        <v>No</v>
      </c>
      <c r="M108" s="161" t="str" cm="1">
        <f t="array" ref="M108">IF(AND($D108&lt;&gt;"",$K108="Yes"),IF(SUMPRODUCT((tbl_Ledger[Invoice Number]=$D108)*(COUNTIF(Dup_Exclusions,tbl_Ledger[Tax Category])=0))&gt;1,"Yes","No"),"No")</f>
        <v>No</v>
      </c>
      <c r="N108" s="161" t="str">
        <f>IF(ABS($G108-$H108)&gt;Tax_Tolerance,"Yes","No")</f>
        <v>No</v>
      </c>
      <c r="O108" s="161" t="str">
        <f>IF(OR(AND($F108="Inflow",LEFT($E108,LEN(Prefix_Outflow))=Prefix_Outflow),AND($F108="Outflow",LEFT($E108,LEN(Prefix_Inflow))=Prefix_Inflow)),"Yes","No")</f>
        <v>No</v>
      </c>
      <c r="P108" s="161" t="str" cm="1">
        <f t="array" ref="P108">IF(AND(COUNTIF(Suspect_Categories,$E108)&gt;0,SUMPRODUCT(--ISNUMBER(SEARCH(Suspect_Keywords,$I108&amp;" "&amp;$J108)))&gt;0),"Yes","No")</f>
        <v>No</v>
      </c>
      <c r="Q108" s="161" t="str">
        <f t="shared" si="0"/>
        <v>No</v>
      </c>
    </row>
    <row r="109" spans="1:17" x14ac:dyDescent="0.3">
      <c r="A109" s="11"/>
      <c r="B109" s="157" cm="1">
        <f t="array" ref="B109">INDEX(tbl_Ledger[Row ID],ROWS($B$27:$B109))</f>
        <v>83</v>
      </c>
      <c r="C109" s="158" cm="1">
        <f t="array" ref="C109">INDEX(tbl_Ledger[Date],ROWS($B$27:$B109))</f>
        <v>46090</v>
      </c>
      <c r="D109" s="157" t="str" cm="1">
        <f t="array" ref="D109">IF(INDEX(tbl_Ledger[Invoice Number],ROWS($B$27:$B109))="","",INDEX(tbl_Ledger[Invoice Number],ROWS($B$27:$B109)))</f>
        <v>NHL-2026-0038</v>
      </c>
      <c r="E109" s="157" t="str" cm="1">
        <f t="array" ref="E109">INDEX(tbl_Ledger[Tax Category],ROWS($B$27:$B109))</f>
        <v>OUT_STD</v>
      </c>
      <c r="F109" s="157" t="str" cm="1">
        <f t="array" ref="F109">INDEX(tbl_Ledger[Direction],ROWS($B$27:$B109))</f>
        <v>Inflow</v>
      </c>
      <c r="G109" s="159" cm="1">
        <f t="array" ref="G109">INDEX(tbl_Ledger[Tax Charged on Invoice],ROWS($B$27:$B109))</f>
        <v>11509.2</v>
      </c>
      <c r="H109" s="159" cm="1">
        <f t="array" ref="H109">INDEX(tbl_Ledger[Expected Total Tax],ROWS($B$27:$B109))</f>
        <v>11509.199999999999</v>
      </c>
      <c r="I109" s="159" t="str" cm="1">
        <f t="array" ref="I109">INDEX(tbl_Ledger[Description],ROWS($B$27:$B109))</f>
        <v>Bulk haulage of PMS, Tema-Takoradi, 4 trips</v>
      </c>
      <c r="J109" s="159" t="str" cm="1">
        <f t="array" ref="J109">INDEX(tbl_Ledger[Counterparty],ROWS($B$27:$B109))</f>
        <v>Golden Harmattan Energy Ltd</v>
      </c>
      <c r="K109" s="160" t="str">
        <f>IF(COUNTIF(Dup_Exclusions,$E109)&gt;0,"No","Yes")</f>
        <v>Yes</v>
      </c>
      <c r="L109" s="161" t="str">
        <f>IF(AND($D109="",COUNTIF(NoInv_Exempt,$E109)=0),"Yes","No")</f>
        <v>No</v>
      </c>
      <c r="M109" s="161" t="str" cm="1">
        <f t="array" ref="M109">IF(AND($D109&lt;&gt;"",$K109="Yes"),IF(SUMPRODUCT((tbl_Ledger[Invoice Number]=$D109)*(COUNTIF(Dup_Exclusions,tbl_Ledger[Tax Category])=0))&gt;1,"Yes","No"),"No")</f>
        <v>No</v>
      </c>
      <c r="N109" s="161" t="str">
        <f>IF(ABS($G109-$H109)&gt;Tax_Tolerance,"Yes","No")</f>
        <v>No</v>
      </c>
      <c r="O109" s="161" t="str">
        <f>IF(OR(AND($F109="Inflow",LEFT($E109,LEN(Prefix_Outflow))=Prefix_Outflow),AND($F109="Outflow",LEFT($E109,LEN(Prefix_Inflow))=Prefix_Inflow)),"Yes","No")</f>
        <v>No</v>
      </c>
      <c r="P109" s="161" t="str" cm="1">
        <f t="array" ref="P109">IF(AND(COUNTIF(Suspect_Categories,$E109)&gt;0,SUMPRODUCT(--ISNUMBER(SEARCH(Suspect_Keywords,$I109&amp;" "&amp;$J109)))&gt;0),"Yes","No")</f>
        <v>No</v>
      </c>
      <c r="Q109" s="161" t="str">
        <f t="shared" si="0"/>
        <v>No</v>
      </c>
    </row>
    <row r="110" spans="1:17" x14ac:dyDescent="0.3">
      <c r="A110" s="11"/>
      <c r="B110" s="157" cm="1">
        <f t="array" ref="B110">INDEX(tbl_Ledger[Row ID],ROWS($B$27:$B110))</f>
        <v>84</v>
      </c>
      <c r="C110" s="158" cm="1">
        <f t="array" ref="C110">INDEX(tbl_Ledger[Date],ROWS($B$27:$B110))</f>
        <v>46091</v>
      </c>
      <c r="D110" s="157" t="str" cm="1">
        <f t="array" ref="D110">IF(INDEX(tbl_Ledger[Invoice Number],ROWS($B$27:$B110))="","",INDEX(tbl_Ledger[Invoice Number],ROWS($B$27:$B110)))</f>
        <v>NHL-2026-0039</v>
      </c>
      <c r="E110" s="157" t="str" cm="1">
        <f t="array" ref="E110">INDEX(tbl_Ledger[Tax Category],ROWS($B$27:$B110))</f>
        <v>VAT_WHT</v>
      </c>
      <c r="F110" s="157" t="str" cm="1">
        <f t="array" ref="F110">INDEX(tbl_Ledger[Direction],ROWS($B$27:$B110))</f>
        <v>Inflow</v>
      </c>
      <c r="G110" s="159" cm="1">
        <f t="array" ref="G110">INDEX(tbl_Ledger[Tax Charged on Invoice],ROWS($B$27:$B110))</f>
        <v>27829.4</v>
      </c>
      <c r="H110" s="159" cm="1">
        <f t="array" ref="H110">INDEX(tbl_Ledger[Expected Total Tax],ROWS($B$27:$B110))</f>
        <v>27829.399999999998</v>
      </c>
      <c r="I110" s="159" t="str" cm="1">
        <f t="array" ref="I110">INDEX(tbl_Ledger[Description],ROWS($B$27:$B110))</f>
        <v>Term haulage contract, LPG, Tema-Bolgatanga; customer is an appointed VAT withholding agent and retained 7%</v>
      </c>
      <c r="J110" s="159" t="str" cm="1">
        <f t="array" ref="J110">INDEX(tbl_Ledger[Counterparty],ROWS($B$27:$B110))</f>
        <v>Tema Bulk Energy Ltd</v>
      </c>
      <c r="K110" s="160" t="str">
        <f>IF(COUNTIF(Dup_Exclusions,$E110)&gt;0,"No","Yes")</f>
        <v>No</v>
      </c>
      <c r="L110" s="161" t="str">
        <f>IF(AND($D110="",COUNTIF(NoInv_Exempt,$E110)=0),"Yes","No")</f>
        <v>No</v>
      </c>
      <c r="M110" s="161" t="str" cm="1">
        <f t="array" ref="M110">IF(AND($D110&lt;&gt;"",$K110="Yes"),IF(SUMPRODUCT((tbl_Ledger[Invoice Number]=$D110)*(COUNTIF(Dup_Exclusions,tbl_Ledger[Tax Category])=0))&gt;1,"Yes","No"),"No")</f>
        <v>No</v>
      </c>
      <c r="N110" s="161" t="str">
        <f>IF(ABS($G110-$H110)&gt;Tax_Tolerance,"Yes","No")</f>
        <v>No</v>
      </c>
      <c r="O110" s="161" t="str">
        <f>IF(OR(AND($F110="Inflow",LEFT($E110,LEN(Prefix_Outflow))=Prefix_Outflow),AND($F110="Outflow",LEFT($E110,LEN(Prefix_Inflow))=Prefix_Inflow)),"Yes","No")</f>
        <v>No</v>
      </c>
      <c r="P110" s="161" t="str" cm="1">
        <f t="array" ref="P110">IF(AND(COUNTIF(Suspect_Categories,$E110)&gt;0,SUMPRODUCT(--ISNUMBER(SEARCH(Suspect_Keywords,$I110&amp;" "&amp;$J110)))&gt;0),"Yes","No")</f>
        <v>No</v>
      </c>
      <c r="Q110" s="161" t="str">
        <f t="shared" si="0"/>
        <v>No</v>
      </c>
    </row>
    <row r="111" spans="1:17" x14ac:dyDescent="0.3">
      <c r="A111" s="11"/>
      <c r="B111" s="157" cm="1">
        <f t="array" ref="B111">INDEX(tbl_Ledger[Row ID],ROWS($B$27:$B111))</f>
        <v>85</v>
      </c>
      <c r="C111" s="158" cm="1">
        <f t="array" ref="C111">INDEX(tbl_Ledger[Date],ROWS($B$27:$B111))</f>
        <v>46092</v>
      </c>
      <c r="D111" s="157" t="str" cm="1">
        <f t="array" ref="D111">IF(INDEX(tbl_Ledger[Invoice Number],ROWS($B$27:$B111))="","",INDEX(tbl_Ledger[Invoice Number],ROWS($B$27:$B111)))</f>
        <v>GRA-2026-0005</v>
      </c>
      <c r="E111" s="157" t="str" cm="1">
        <f t="array" ref="E111">INDEX(tbl_Ledger[Tax Category],ROWS($B$27:$B111))</f>
        <v>NO_VAT</v>
      </c>
      <c r="F111" s="157" t="str" cm="1">
        <f t="array" ref="F111">INDEX(tbl_Ledger[Direction],ROWS($B$27:$B111))</f>
        <v>Outflow</v>
      </c>
      <c r="G111" s="159" cm="1">
        <f t="array" ref="G111">INDEX(tbl_Ledger[Tax Charged on Invoice],ROWS($B$27:$B111))</f>
        <v>0</v>
      </c>
      <c r="H111" s="159" cm="1">
        <f t="array" ref="H111">INDEX(tbl_Ledger[Expected Total Tax],ROWS($B$27:$B111))</f>
        <v>0</v>
      </c>
      <c r="I111" s="159" t="str" cm="1">
        <f t="array" ref="I111">INDEX(tbl_Ledger[Description],ROWS($B$27:$B111))</f>
        <v>PAYE and SSNIT contributions - March</v>
      </c>
      <c r="J111" s="159" t="str" cm="1">
        <f t="array" ref="J111">INDEX(tbl_Ledger[Counterparty],ROWS($B$27:$B111))</f>
        <v>Ghana Revenue Authority</v>
      </c>
      <c r="K111" s="160" t="str">
        <f>IF(COUNTIF(Dup_Exclusions,$E111)&gt;0,"No","Yes")</f>
        <v>Yes</v>
      </c>
      <c r="L111" s="161" t="str">
        <f>IF(AND($D111="",COUNTIF(NoInv_Exempt,$E111)=0),"Yes","No")</f>
        <v>No</v>
      </c>
      <c r="M111" s="161" t="str" cm="1">
        <f t="array" ref="M111">IF(AND($D111&lt;&gt;"",$K111="Yes"),IF(SUMPRODUCT((tbl_Ledger[Invoice Number]=$D111)*(COUNTIF(Dup_Exclusions,tbl_Ledger[Tax Category])=0))&gt;1,"Yes","No"),"No")</f>
        <v>No</v>
      </c>
      <c r="N111" s="161" t="str">
        <f>IF(ABS($G111-$H111)&gt;Tax_Tolerance,"Yes","No")</f>
        <v>No</v>
      </c>
      <c r="O111" s="161" t="str">
        <f>IF(OR(AND($F111="Inflow",LEFT($E111,LEN(Prefix_Outflow))=Prefix_Outflow),AND($F111="Outflow",LEFT($E111,LEN(Prefix_Inflow))=Prefix_Inflow)),"Yes","No")</f>
        <v>No</v>
      </c>
      <c r="P111" s="161" t="str" cm="1">
        <f t="array" ref="P111">IF(AND(COUNTIF(Suspect_Categories,$E111)&gt;0,SUMPRODUCT(--ISNUMBER(SEARCH(Suspect_Keywords,$I111&amp;" "&amp;$J111)))&gt;0),"Yes","No")</f>
        <v>No</v>
      </c>
      <c r="Q111" s="161" t="str">
        <f t="shared" si="0"/>
        <v>No</v>
      </c>
    </row>
    <row r="112" spans="1:17" x14ac:dyDescent="0.3">
      <c r="A112" s="11"/>
      <c r="B112" s="157" cm="1">
        <f t="array" ref="B112">INDEX(tbl_Ledger[Row ID],ROWS($B$27:$B112))</f>
        <v>86</v>
      </c>
      <c r="C112" s="158" cm="1">
        <f t="array" ref="C112">INDEX(tbl_Ledger[Date],ROWS($B$27:$B112))</f>
        <v>46093</v>
      </c>
      <c r="D112" s="157" t="str" cm="1">
        <f t="array" ref="D112">IF(INDEX(tbl_Ledger[Invoice Number],ROWS($B$27:$B112))="","",INDEX(tbl_Ledger[Invoice Number],ROWS($B$27:$B112)))</f>
        <v>BNK-2026-0008</v>
      </c>
      <c r="E112" s="157" t="str" cm="1">
        <f t="array" ref="E112">INDEX(tbl_Ledger[Tax Category],ROWS($B$27:$B112))</f>
        <v>IN_EXEMPT</v>
      </c>
      <c r="F112" s="157" t="str" cm="1">
        <f t="array" ref="F112">INDEX(tbl_Ledger[Direction],ROWS($B$27:$B112))</f>
        <v>Outflow</v>
      </c>
      <c r="G112" s="159" cm="1">
        <f t="array" ref="G112">INDEX(tbl_Ledger[Tax Charged on Invoice],ROWS($B$27:$B112))</f>
        <v>0</v>
      </c>
      <c r="H112" s="159" cm="1">
        <f t="array" ref="H112">INDEX(tbl_Ledger[Expected Total Tax],ROWS($B$27:$B112))</f>
        <v>0</v>
      </c>
      <c r="I112" s="159" t="str" cm="1">
        <f t="array" ref="I112">INDEX(tbl_Ledger[Description],ROWS($B$27:$B112))</f>
        <v>Bank charges and account maintenance</v>
      </c>
      <c r="J112" s="159" t="str" cm="1">
        <f t="array" ref="J112">INDEX(tbl_Ledger[Counterparty],ROWS($B$27:$B112))</f>
        <v>Meridian Bank Ghana Ltd</v>
      </c>
      <c r="K112" s="160" t="str">
        <f>IF(COUNTIF(Dup_Exclusions,$E112)&gt;0,"No","Yes")</f>
        <v>Yes</v>
      </c>
      <c r="L112" s="161" t="str">
        <f>IF(AND($D112="",COUNTIF(NoInv_Exempt,$E112)=0),"Yes","No")</f>
        <v>No</v>
      </c>
      <c r="M112" s="161" t="str" cm="1">
        <f t="array" ref="M112">IF(AND($D112&lt;&gt;"",$K112="Yes"),IF(SUMPRODUCT((tbl_Ledger[Invoice Number]=$D112)*(COUNTIF(Dup_Exclusions,tbl_Ledger[Tax Category])=0))&gt;1,"Yes","No"),"No")</f>
        <v>No</v>
      </c>
      <c r="N112" s="161" t="str">
        <f>IF(ABS($G112-$H112)&gt;Tax_Tolerance,"Yes","No")</f>
        <v>No</v>
      </c>
      <c r="O112" s="161" t="str">
        <f>IF(OR(AND($F112="Inflow",LEFT($E112,LEN(Prefix_Outflow))=Prefix_Outflow),AND($F112="Outflow",LEFT($E112,LEN(Prefix_Inflow))=Prefix_Inflow)),"Yes","No")</f>
        <v>No</v>
      </c>
      <c r="P112" s="161" t="str" cm="1">
        <f t="array" ref="P112">IF(AND(COUNTIF(Suspect_Categories,$E112)&gt;0,SUMPRODUCT(--ISNUMBER(SEARCH(Suspect_Keywords,$I112&amp;" "&amp;$J112)))&gt;0),"Yes","No")</f>
        <v>No</v>
      </c>
      <c r="Q112" s="161" t="str">
        <f t="shared" si="0"/>
        <v>No</v>
      </c>
    </row>
    <row r="113" spans="1:17" x14ac:dyDescent="0.3">
      <c r="A113" s="11"/>
      <c r="B113" s="157" cm="1">
        <f t="array" ref="B113">INDEX(tbl_Ledger[Row ID],ROWS($B$27:$B113))</f>
        <v>87</v>
      </c>
      <c r="C113" s="158" cm="1">
        <f t="array" ref="C113">INDEX(tbl_Ledger[Date],ROWS($B$27:$B113))</f>
        <v>46093</v>
      </c>
      <c r="D113" s="157" t="str" cm="1">
        <f t="array" ref="D113">IF(INDEX(tbl_Ledger[Invoice Number],ROWS($B$27:$B113))="","",INDEX(tbl_Ledger[Invoice Number],ROWS($B$27:$B113)))</f>
        <v>SIN-2026-0030</v>
      </c>
      <c r="E113" s="157" t="str" cm="1">
        <f t="array" ref="E113">INDEX(tbl_Ledger[Tax Category],ROWS($B$27:$B113))</f>
        <v>IN_STD</v>
      </c>
      <c r="F113" s="157" t="str" cm="1">
        <f t="array" ref="F113">INDEX(tbl_Ledger[Direction],ROWS($B$27:$B113))</f>
        <v>Outflow</v>
      </c>
      <c r="G113" s="159" cm="1">
        <f t="array" ref="G113">INDEX(tbl_Ledger[Tax Charged on Invoice],ROWS($B$27:$B113))</f>
        <v>1772</v>
      </c>
      <c r="H113" s="159" cm="1">
        <f t="array" ref="H113">INDEX(tbl_Ledger[Expected Total Tax],ROWS($B$27:$B113))</f>
        <v>1772</v>
      </c>
      <c r="I113" s="159" t="str" cm="1">
        <f t="array" ref="I113">INDEX(tbl_Ledger[Description],ROWS($B$27:$B113))</f>
        <v>Fleet tracking software subscription</v>
      </c>
      <c r="J113" s="159" t="str" cm="1">
        <f t="array" ref="J113">INDEX(tbl_Ledger[Counterparty],ROWS($B$27:$B113))</f>
        <v>Adom Telecom Ghana Ltd</v>
      </c>
      <c r="K113" s="160" t="str">
        <f>IF(COUNTIF(Dup_Exclusions,$E113)&gt;0,"No","Yes")</f>
        <v>Yes</v>
      </c>
      <c r="L113" s="161" t="str">
        <f>IF(AND($D113="",COUNTIF(NoInv_Exempt,$E113)=0),"Yes","No")</f>
        <v>No</v>
      </c>
      <c r="M113" s="161" t="str" cm="1">
        <f t="array" ref="M113">IF(AND($D113&lt;&gt;"",$K113="Yes"),IF(SUMPRODUCT((tbl_Ledger[Invoice Number]=$D113)*(COUNTIF(Dup_Exclusions,tbl_Ledger[Tax Category])=0))&gt;1,"Yes","No"),"No")</f>
        <v>No</v>
      </c>
      <c r="N113" s="161" t="str">
        <f>IF(ABS($G113-$H113)&gt;Tax_Tolerance,"Yes","No")</f>
        <v>No</v>
      </c>
      <c r="O113" s="161" t="str">
        <f>IF(OR(AND($F113="Inflow",LEFT($E113,LEN(Prefix_Outflow))=Prefix_Outflow),AND($F113="Outflow",LEFT($E113,LEN(Prefix_Inflow))=Prefix_Inflow)),"Yes","No")</f>
        <v>No</v>
      </c>
      <c r="P113" s="161" t="str" cm="1">
        <f t="array" ref="P113">IF(AND(COUNTIF(Suspect_Categories,$E113)&gt;0,SUMPRODUCT(--ISNUMBER(SEARCH(Suspect_Keywords,$I113&amp;" "&amp;$J113)))&gt;0),"Yes","No")</f>
        <v>No</v>
      </c>
      <c r="Q113" s="161" t="str">
        <f t="shared" si="0"/>
        <v>No</v>
      </c>
    </row>
    <row r="114" spans="1:17" x14ac:dyDescent="0.3">
      <c r="A114" s="11"/>
      <c r="B114" s="157" cm="1">
        <f t="array" ref="B114">INDEX(tbl_Ledger[Row ID],ROWS($B$27:$B114))</f>
        <v>88</v>
      </c>
      <c r="C114" s="158" cm="1">
        <f t="array" ref="C114">INDEX(tbl_Ledger[Date],ROWS($B$27:$B114))</f>
        <v>46093</v>
      </c>
      <c r="D114" s="157" t="str" cm="1">
        <f t="array" ref="D114">IF(INDEX(tbl_Ledger[Invoice Number],ROWS($B$27:$B114))="","",INDEX(tbl_Ledger[Invoice Number],ROWS($B$27:$B114)))</f>
        <v>NHL-2026-0040</v>
      </c>
      <c r="E114" s="157" t="str" cm="1">
        <f t="array" ref="E114">INDEX(tbl_Ledger[Tax Category],ROWS($B$27:$B114))</f>
        <v>OUT_STD</v>
      </c>
      <c r="F114" s="157" t="str" cm="1">
        <f t="array" ref="F114">INDEX(tbl_Ledger[Direction],ROWS($B$27:$B114))</f>
        <v>Inflow</v>
      </c>
      <c r="G114" s="159" cm="1">
        <f t="array" ref="G114">INDEX(tbl_Ledger[Tax Charged on Invoice],ROWS($B$27:$B114))</f>
        <v>5110</v>
      </c>
      <c r="H114" s="159" cm="1">
        <f t="array" ref="H114">INDEX(tbl_Ledger[Expected Total Tax],ROWS($B$27:$B114))</f>
        <v>5110</v>
      </c>
      <c r="I114" s="159" t="str" cm="1">
        <f t="array" ref="I114">INDEX(tbl_Ledger[Description],ROWS($B$27:$B114))</f>
        <v>Bulk haulage of ATK, Tema-Bolgatanga, 6 trips</v>
      </c>
      <c r="J114" s="159" t="str" cm="1">
        <f t="array" ref="J114">INDEX(tbl_Ledger[Counterparty],ROWS($B$27:$B114))</f>
        <v>Pra River Energy Ltd</v>
      </c>
      <c r="K114" s="160" t="str">
        <f>IF(COUNTIF(Dup_Exclusions,$E114)&gt;0,"No","Yes")</f>
        <v>Yes</v>
      </c>
      <c r="L114" s="161" t="str">
        <f>IF(AND($D114="",COUNTIF(NoInv_Exempt,$E114)=0),"Yes","No")</f>
        <v>No</v>
      </c>
      <c r="M114" s="161" t="str" cm="1">
        <f t="array" ref="M114">IF(AND($D114&lt;&gt;"",$K114="Yes"),IF(SUMPRODUCT((tbl_Ledger[Invoice Number]=$D114)*(COUNTIF(Dup_Exclusions,tbl_Ledger[Tax Category])=0))&gt;1,"Yes","No"),"No")</f>
        <v>No</v>
      </c>
      <c r="N114" s="161" t="str">
        <f>IF(ABS($G114-$H114)&gt;Tax_Tolerance,"Yes","No")</f>
        <v>No</v>
      </c>
      <c r="O114" s="161" t="str">
        <f>IF(OR(AND($F114="Inflow",LEFT($E114,LEN(Prefix_Outflow))=Prefix_Outflow),AND($F114="Outflow",LEFT($E114,LEN(Prefix_Inflow))=Prefix_Inflow)),"Yes","No")</f>
        <v>No</v>
      </c>
      <c r="P114" s="161" t="str" cm="1">
        <f t="array" ref="P114">IF(AND(COUNTIF(Suspect_Categories,$E114)&gt;0,SUMPRODUCT(--ISNUMBER(SEARCH(Suspect_Keywords,$I114&amp;" "&amp;$J114)))&gt;0),"Yes","No")</f>
        <v>No</v>
      </c>
      <c r="Q114" s="161" t="str">
        <f t="shared" si="0"/>
        <v>No</v>
      </c>
    </row>
    <row r="115" spans="1:17" x14ac:dyDescent="0.3">
      <c r="A115" s="11"/>
      <c r="B115" s="157" cm="1">
        <f t="array" ref="B115">INDEX(tbl_Ledger[Row ID],ROWS($B$27:$B115))</f>
        <v>89</v>
      </c>
      <c r="C115" s="158" cm="1">
        <f t="array" ref="C115">INDEX(tbl_Ledger[Date],ROWS($B$27:$B115))</f>
        <v>46094</v>
      </c>
      <c r="D115" s="157" t="str" cm="1">
        <f t="array" ref="D115">IF(INDEX(tbl_Ledger[Invoice Number],ROWS($B$27:$B115))="","",INDEX(tbl_Ledger[Invoice Number],ROWS($B$27:$B115)))</f>
        <v>BNK-2026-0009</v>
      </c>
      <c r="E115" s="157" t="str" cm="1">
        <f t="array" ref="E115">INDEX(tbl_Ledger[Tax Category],ROWS($B$27:$B115))</f>
        <v>IN_EXEMPT</v>
      </c>
      <c r="F115" s="157" t="str" cm="1">
        <f t="array" ref="F115">INDEX(tbl_Ledger[Direction],ROWS($B$27:$B115))</f>
        <v>Outflow</v>
      </c>
      <c r="G115" s="159" cm="1">
        <f t="array" ref="G115">INDEX(tbl_Ledger[Tax Charged on Invoice],ROWS($B$27:$B115))</f>
        <v>0</v>
      </c>
      <c r="H115" s="159" cm="1">
        <f t="array" ref="H115">INDEX(tbl_Ledger[Expected Total Tax],ROWS($B$27:$B115))</f>
        <v>0</v>
      </c>
      <c r="I115" s="159" t="str" cm="1">
        <f t="array" ref="I115">INDEX(tbl_Ledger[Description],ROWS($B$27:$B115))</f>
        <v>Bank charges and account maintenance</v>
      </c>
      <c r="J115" s="159" t="str" cm="1">
        <f t="array" ref="J115">INDEX(tbl_Ledger[Counterparty],ROWS($B$27:$B115))</f>
        <v>Trust Union Bank Ltd</v>
      </c>
      <c r="K115" s="160" t="str">
        <f>IF(COUNTIF(Dup_Exclusions,$E115)&gt;0,"No","Yes")</f>
        <v>Yes</v>
      </c>
      <c r="L115" s="161" t="str">
        <f>IF(AND($D115="",COUNTIF(NoInv_Exempt,$E115)=0),"Yes","No")</f>
        <v>No</v>
      </c>
      <c r="M115" s="161" t="str" cm="1">
        <f t="array" ref="M115">IF(AND($D115&lt;&gt;"",$K115="Yes"),IF(SUMPRODUCT((tbl_Ledger[Invoice Number]=$D115)*(COUNTIF(Dup_Exclusions,tbl_Ledger[Tax Category])=0))&gt;1,"Yes","No"),"No")</f>
        <v>No</v>
      </c>
      <c r="N115" s="161" t="str">
        <f>IF(ABS($G115-$H115)&gt;Tax_Tolerance,"Yes","No")</f>
        <v>No</v>
      </c>
      <c r="O115" s="161" t="str">
        <f>IF(OR(AND($F115="Inflow",LEFT($E115,LEN(Prefix_Outflow))=Prefix_Outflow),AND($F115="Outflow",LEFT($E115,LEN(Prefix_Inflow))=Prefix_Inflow)),"Yes","No")</f>
        <v>No</v>
      </c>
      <c r="P115" s="161" t="str" cm="1">
        <f t="array" ref="P115">IF(AND(COUNTIF(Suspect_Categories,$E115)&gt;0,SUMPRODUCT(--ISNUMBER(SEARCH(Suspect_Keywords,$I115&amp;" "&amp;$J115)))&gt;0),"Yes","No")</f>
        <v>No</v>
      </c>
      <c r="Q115" s="161" t="str">
        <f t="shared" si="0"/>
        <v>No</v>
      </c>
    </row>
    <row r="116" spans="1:17" x14ac:dyDescent="0.3">
      <c r="A116" s="11"/>
      <c r="B116" s="157" cm="1">
        <f t="array" ref="B116">INDEX(tbl_Ledger[Row ID],ROWS($B$27:$B116))</f>
        <v>90</v>
      </c>
      <c r="C116" s="158" cm="1">
        <f t="array" ref="C116">INDEX(tbl_Ledger[Date],ROWS($B$27:$B116))</f>
        <v>46094</v>
      </c>
      <c r="D116" s="157" t="str" cm="1">
        <f t="array" ref="D116">IF(INDEX(tbl_Ledger[Invoice Number],ROWS($B$27:$B116))="","",INDEX(tbl_Ledger[Invoice Number],ROWS($B$27:$B116)))</f>
        <v>NHL-2026-0041</v>
      </c>
      <c r="E116" s="157" t="str" cm="1">
        <f t="array" ref="E116">INDEX(tbl_Ledger[Tax Category],ROWS($B$27:$B116))</f>
        <v>OUT_STD</v>
      </c>
      <c r="F116" s="157" t="str" cm="1">
        <f t="array" ref="F116">INDEX(tbl_Ledger[Direction],ROWS($B$27:$B116))</f>
        <v>Inflow</v>
      </c>
      <c r="G116" s="159" cm="1">
        <f t="array" ref="G116">INDEX(tbl_Ledger[Tax Charged on Invoice],ROWS($B$27:$B116))</f>
        <v>4924.8</v>
      </c>
      <c r="H116" s="159" cm="1">
        <f t="array" ref="H116">INDEX(tbl_Ledger[Expected Total Tax],ROWS($B$27:$B116))</f>
        <v>4924.8</v>
      </c>
      <c r="I116" s="159" t="str" cm="1">
        <f t="array" ref="I116">INDEX(tbl_Ledger[Description],ROWS($B$27:$B116))</f>
        <v>Bulk haulage of LPG, Takoradi-Wa, 7 trips</v>
      </c>
      <c r="J116" s="159" t="str" cm="1">
        <f t="array" ref="J116">INDEX(tbl_Ledger[Counterparty],ROWS($B$27:$B116))</f>
        <v>Adinkra Oil Marketing Ltd</v>
      </c>
      <c r="K116" s="160" t="str">
        <f>IF(COUNTIF(Dup_Exclusions,$E116)&gt;0,"No","Yes")</f>
        <v>Yes</v>
      </c>
      <c r="L116" s="161" t="str">
        <f>IF(AND($D116="",COUNTIF(NoInv_Exempt,$E116)=0),"Yes","No")</f>
        <v>No</v>
      </c>
      <c r="M116" s="161" t="str" cm="1">
        <f t="array" ref="M116">IF(AND($D116&lt;&gt;"",$K116="Yes"),IF(SUMPRODUCT((tbl_Ledger[Invoice Number]=$D116)*(COUNTIF(Dup_Exclusions,tbl_Ledger[Tax Category])=0))&gt;1,"Yes","No"),"No")</f>
        <v>No</v>
      </c>
      <c r="N116" s="161" t="str">
        <f>IF(ABS($G116-$H116)&gt;Tax_Tolerance,"Yes","No")</f>
        <v>No</v>
      </c>
      <c r="O116" s="161" t="str">
        <f>IF(OR(AND($F116="Inflow",LEFT($E116,LEN(Prefix_Outflow))=Prefix_Outflow),AND($F116="Outflow",LEFT($E116,LEN(Prefix_Inflow))=Prefix_Inflow)),"Yes","No")</f>
        <v>No</v>
      </c>
      <c r="P116" s="161" t="str" cm="1">
        <f t="array" ref="P116">IF(AND(COUNTIF(Suspect_Categories,$E116)&gt;0,SUMPRODUCT(--ISNUMBER(SEARCH(Suspect_Keywords,$I116&amp;" "&amp;$J116)))&gt;0),"Yes","No")</f>
        <v>No</v>
      </c>
      <c r="Q116" s="161" t="str">
        <f t="shared" si="0"/>
        <v>No</v>
      </c>
    </row>
    <row r="117" spans="1:17" x14ac:dyDescent="0.3">
      <c r="A117" s="11"/>
      <c r="B117" s="157" cm="1">
        <f t="array" ref="B117">INDEX(tbl_Ledger[Row ID],ROWS($B$27:$B117))</f>
        <v>91</v>
      </c>
      <c r="C117" s="158" cm="1">
        <f t="array" ref="C117">INDEX(tbl_Ledger[Date],ROWS($B$27:$B117))</f>
        <v>46094</v>
      </c>
      <c r="D117" s="157" t="str" cm="1">
        <f t="array" ref="D117">IF(INDEX(tbl_Ledger[Invoice Number],ROWS($B$27:$B117))="","",INDEX(tbl_Ledger[Invoice Number],ROWS($B$27:$B117)))</f>
        <v>NHL-2026-0042</v>
      </c>
      <c r="E117" s="157" t="str" cm="1">
        <f t="array" ref="E117">INDEX(tbl_Ledger[Tax Category],ROWS($B$27:$B117))</f>
        <v>OUT_STD</v>
      </c>
      <c r="F117" s="157" t="str" cm="1">
        <f t="array" ref="F117">INDEX(tbl_Ledger[Direction],ROWS($B$27:$B117))</f>
        <v>Inflow</v>
      </c>
      <c r="G117" s="159" cm="1">
        <f t="array" ref="G117">INDEX(tbl_Ledger[Tax Charged on Invoice],ROWS($B$27:$B117))</f>
        <v>11563.2</v>
      </c>
      <c r="H117" s="159" cm="1">
        <f t="array" ref="H117">INDEX(tbl_Ledger[Expected Total Tax],ROWS($B$27:$B117))</f>
        <v>11563.199999999999</v>
      </c>
      <c r="I117" s="159" t="str" cm="1">
        <f t="array" ref="I117">INDEX(tbl_Ledger[Description],ROWS($B$27:$B117))</f>
        <v>Bulk haulage of PMS, Takoradi-Tamale, 8 trips</v>
      </c>
      <c r="J117" s="159" t="str" cm="1">
        <f t="array" ref="J117">INDEX(tbl_Ledger[Counterparty],ROWS($B$27:$B117))</f>
        <v>Obuasi Fuel Distributors Ltd</v>
      </c>
      <c r="K117" s="160" t="str">
        <f>IF(COUNTIF(Dup_Exclusions,$E117)&gt;0,"No","Yes")</f>
        <v>Yes</v>
      </c>
      <c r="L117" s="161" t="str">
        <f>IF(AND($D117="",COUNTIF(NoInv_Exempt,$E117)=0),"Yes","No")</f>
        <v>No</v>
      </c>
      <c r="M117" s="161" t="str" cm="1">
        <f t="array" ref="M117">IF(AND($D117&lt;&gt;"",$K117="Yes"),IF(SUMPRODUCT((tbl_Ledger[Invoice Number]=$D117)*(COUNTIF(Dup_Exclusions,tbl_Ledger[Tax Category])=0))&gt;1,"Yes","No"),"No")</f>
        <v>No</v>
      </c>
      <c r="N117" s="161" t="str">
        <f>IF(ABS($G117-$H117)&gt;Tax_Tolerance,"Yes","No")</f>
        <v>No</v>
      </c>
      <c r="O117" s="161" t="str">
        <f>IF(OR(AND($F117="Inflow",LEFT($E117,LEN(Prefix_Outflow))=Prefix_Outflow),AND($F117="Outflow",LEFT($E117,LEN(Prefix_Inflow))=Prefix_Inflow)),"Yes","No")</f>
        <v>No</v>
      </c>
      <c r="P117" s="161" t="str" cm="1">
        <f t="array" ref="P117">IF(AND(COUNTIF(Suspect_Categories,$E117)&gt;0,SUMPRODUCT(--ISNUMBER(SEARCH(Suspect_Keywords,$I117&amp;" "&amp;$J117)))&gt;0),"Yes","No")</f>
        <v>No</v>
      </c>
      <c r="Q117" s="161" t="str">
        <f t="shared" si="0"/>
        <v>No</v>
      </c>
    </row>
    <row r="118" spans="1:17" x14ac:dyDescent="0.3">
      <c r="A118" s="11"/>
      <c r="B118" s="157" cm="1">
        <f t="array" ref="B118">INDEX(tbl_Ledger[Row ID],ROWS($B$27:$B118))</f>
        <v>92</v>
      </c>
      <c r="C118" s="158" cm="1">
        <f t="array" ref="C118">INDEX(tbl_Ledger[Date],ROWS($B$27:$B118))</f>
        <v>46094</v>
      </c>
      <c r="D118" s="157" t="str" cm="1">
        <f t="array" ref="D118">IF(INDEX(tbl_Ledger[Invoice Number],ROWS($B$27:$B118))="","",INDEX(tbl_Ledger[Invoice Number],ROWS($B$27:$B118)))</f>
        <v>NHL-2026-0043</v>
      </c>
      <c r="E118" s="157" t="str" cm="1">
        <f t="array" ref="E118">INDEX(tbl_Ledger[Tax Category],ROWS($B$27:$B118))</f>
        <v>VAT_WHT</v>
      </c>
      <c r="F118" s="157" t="str" cm="1">
        <f t="array" ref="F118">INDEX(tbl_Ledger[Direction],ROWS($B$27:$B118))</f>
        <v>Inflow</v>
      </c>
      <c r="G118" s="159" cm="1">
        <f t="array" ref="G118">INDEX(tbl_Ledger[Tax Charged on Invoice],ROWS($B$27:$B118))</f>
        <v>15932.4</v>
      </c>
      <c r="H118" s="159" cm="1">
        <f t="array" ref="H118">INDEX(tbl_Ledger[Expected Total Tax],ROWS($B$27:$B118))</f>
        <v>15932.399999999998</v>
      </c>
      <c r="I118" s="159" t="str" cm="1">
        <f t="array" ref="I118">INDEX(tbl_Ledger[Description],ROWS($B$27:$B118))</f>
        <v>Term haulage contract, ATK, Tema-Bolgatanga; customer is an appointed VAT withholding agent and retained 7%</v>
      </c>
      <c r="J118" s="159" t="str" cm="1">
        <f t="array" ref="J118">INDEX(tbl_Ledger[Counterparty],ROWS($B$27:$B118))</f>
        <v>Northern Star BDC Ltd</v>
      </c>
      <c r="K118" s="160" t="str">
        <f>IF(COUNTIF(Dup_Exclusions,$E118)&gt;0,"No","Yes")</f>
        <v>No</v>
      </c>
      <c r="L118" s="161" t="str">
        <f>IF(AND($D118="",COUNTIF(NoInv_Exempt,$E118)=0),"Yes","No")</f>
        <v>No</v>
      </c>
      <c r="M118" s="161" t="str" cm="1">
        <f t="array" ref="M118">IF(AND($D118&lt;&gt;"",$K118="Yes"),IF(SUMPRODUCT((tbl_Ledger[Invoice Number]=$D118)*(COUNTIF(Dup_Exclusions,tbl_Ledger[Tax Category])=0))&gt;1,"Yes","No"),"No")</f>
        <v>No</v>
      </c>
      <c r="N118" s="161" t="str">
        <f>IF(ABS($G118-$H118)&gt;Tax_Tolerance,"Yes","No")</f>
        <v>No</v>
      </c>
      <c r="O118" s="161" t="str">
        <f>IF(OR(AND($F118="Inflow",LEFT($E118,LEN(Prefix_Outflow))=Prefix_Outflow),AND($F118="Outflow",LEFT($E118,LEN(Prefix_Inflow))=Prefix_Inflow)),"Yes","No")</f>
        <v>No</v>
      </c>
      <c r="P118" s="161" t="str" cm="1">
        <f t="array" ref="P118">IF(AND(COUNTIF(Suspect_Categories,$E118)&gt;0,SUMPRODUCT(--ISNUMBER(SEARCH(Suspect_Keywords,$I118&amp;" "&amp;$J118)))&gt;0),"Yes","No")</f>
        <v>No</v>
      </c>
      <c r="Q118" s="161" t="str">
        <f t="shared" si="0"/>
        <v>No</v>
      </c>
    </row>
    <row r="119" spans="1:17" x14ac:dyDescent="0.3">
      <c r="A119" s="11"/>
      <c r="B119" s="157" cm="1">
        <f t="array" ref="B119">INDEX(tbl_Ledger[Row ID],ROWS($B$27:$B119))</f>
        <v>93</v>
      </c>
      <c r="C119" s="158" cm="1">
        <f t="array" ref="C119">INDEX(tbl_Ledger[Date],ROWS($B$27:$B119))</f>
        <v>46095</v>
      </c>
      <c r="D119" s="157" t="str" cm="1">
        <f t="array" ref="D119">IF(INDEX(tbl_Ledger[Invoice Number],ROWS($B$27:$B119))="","",INDEX(tbl_Ledger[Invoice Number],ROWS($B$27:$B119)))</f>
        <v/>
      </c>
      <c r="E119" s="157" t="str" cm="1">
        <f t="array" ref="E119">INDEX(tbl_Ledger[Tax Category],ROWS($B$27:$B119))</f>
        <v>OUT_STD</v>
      </c>
      <c r="F119" s="157" t="str" cm="1">
        <f t="array" ref="F119">INDEX(tbl_Ledger[Direction],ROWS($B$27:$B119))</f>
        <v>Inflow</v>
      </c>
      <c r="G119" s="159" cm="1">
        <f t="array" ref="G119">INDEX(tbl_Ledger[Tax Charged on Invoice],ROWS($B$27:$B119))</f>
        <v>18497.400000000001</v>
      </c>
      <c r="H119" s="159" cm="1">
        <f t="array" ref="H119">INDEX(tbl_Ledger[Expected Total Tax],ROWS($B$27:$B119))</f>
        <v>18497.399999999998</v>
      </c>
      <c r="I119" s="159" t="str" cm="1">
        <f t="array" ref="I119">INDEX(tbl_Ledger[Description],ROWS($B$27:$B119))</f>
        <v>Bulk haulage of AGO, Tema-Cape Coast, 6 trips</v>
      </c>
      <c r="J119" s="159" t="str" cm="1">
        <f t="array" ref="J119">INDEX(tbl_Ledger[Counterparty],ROWS($B$27:$B119))</f>
        <v>Northern Star BDC Ltd</v>
      </c>
      <c r="K119" s="160" t="str">
        <f>IF(COUNTIF(Dup_Exclusions,$E119)&gt;0,"No","Yes")</f>
        <v>Yes</v>
      </c>
      <c r="L119" s="161" t="str">
        <f>IF(AND($D119="",COUNTIF(NoInv_Exempt,$E119)=0),"Yes","No")</f>
        <v>Yes</v>
      </c>
      <c r="M119" s="161" t="str" cm="1">
        <f t="array" ref="M119">IF(AND($D119&lt;&gt;"",$K119="Yes"),IF(SUMPRODUCT((tbl_Ledger[Invoice Number]=$D119)*(COUNTIF(Dup_Exclusions,tbl_Ledger[Tax Category])=0))&gt;1,"Yes","No"),"No")</f>
        <v>No</v>
      </c>
      <c r="N119" s="161" t="str">
        <f>IF(ABS($G119-$H119)&gt;Tax_Tolerance,"Yes","No")</f>
        <v>No</v>
      </c>
      <c r="O119" s="161" t="str">
        <f>IF(OR(AND($F119="Inflow",LEFT($E119,LEN(Prefix_Outflow))=Prefix_Outflow),AND($F119="Outflow",LEFT($E119,LEN(Prefix_Inflow))=Prefix_Inflow)),"Yes","No")</f>
        <v>No</v>
      </c>
      <c r="P119" s="161" t="str" cm="1">
        <f t="array" ref="P119">IF(AND(COUNTIF(Suspect_Categories,$E119)&gt;0,SUMPRODUCT(--ISNUMBER(SEARCH(Suspect_Keywords,$I119&amp;" "&amp;$J119)))&gt;0),"Yes","No")</f>
        <v>No</v>
      </c>
      <c r="Q119" s="161" t="str">
        <f t="shared" si="0"/>
        <v>Yes</v>
      </c>
    </row>
    <row r="120" spans="1:17" x14ac:dyDescent="0.3">
      <c r="A120" s="11"/>
      <c r="B120" s="157" cm="1">
        <f t="array" ref="B120">INDEX(tbl_Ledger[Row ID],ROWS($B$27:$B120))</f>
        <v>94</v>
      </c>
      <c r="C120" s="158" cm="1">
        <f t="array" ref="C120">INDEX(tbl_Ledger[Date],ROWS($B$27:$B120))</f>
        <v>46096</v>
      </c>
      <c r="D120" s="157" t="str" cm="1">
        <f t="array" ref="D120">IF(INDEX(tbl_Ledger[Invoice Number],ROWS($B$27:$B120))="","",INDEX(tbl_Ledger[Invoice Number],ROWS($B$27:$B120)))</f>
        <v>SIN-2026-0031</v>
      </c>
      <c r="E120" s="157" t="str" cm="1">
        <f t="array" ref="E120">INDEX(tbl_Ledger[Tax Category],ROWS($B$27:$B120))</f>
        <v>IN_NONDED</v>
      </c>
      <c r="F120" s="157" t="str" cm="1">
        <f t="array" ref="F120">INDEX(tbl_Ledger[Direction],ROWS($B$27:$B120))</f>
        <v>Outflow</v>
      </c>
      <c r="G120" s="159" cm="1">
        <f t="array" ref="G120">INDEX(tbl_Ledger[Tax Charged on Invoice],ROWS($B$27:$B120))</f>
        <v>392</v>
      </c>
      <c r="H120" s="159" cm="1">
        <f t="array" ref="H120">INDEX(tbl_Ledger[Expected Total Tax],ROWS($B$27:$B120))</f>
        <v>392</v>
      </c>
      <c r="I120" s="159" t="str" cm="1">
        <f t="array" ref="I120">INDEX(tbl_Ledger[Description],ROWS($B$27:$B120))</f>
        <v>Passenger vehicle running costs - management car</v>
      </c>
      <c r="J120" s="159" t="str" cm="1">
        <f t="array" ref="J120">INDEX(tbl_Ledger[Counterparty],ROWS($B$27:$B120))</f>
        <v>Sunset Lounge Ltd</v>
      </c>
      <c r="K120" s="160" t="str">
        <f>IF(COUNTIF(Dup_Exclusions,$E120)&gt;0,"No","Yes")</f>
        <v>Yes</v>
      </c>
      <c r="L120" s="161" t="str">
        <f>IF(AND($D120="",COUNTIF(NoInv_Exempt,$E120)=0),"Yes","No")</f>
        <v>No</v>
      </c>
      <c r="M120" s="161" t="str" cm="1">
        <f t="array" ref="M120">IF(AND($D120&lt;&gt;"",$K120="Yes"),IF(SUMPRODUCT((tbl_Ledger[Invoice Number]=$D120)*(COUNTIF(Dup_Exclusions,tbl_Ledger[Tax Category])=0))&gt;1,"Yes","No"),"No")</f>
        <v>No</v>
      </c>
      <c r="N120" s="161" t="str">
        <f>IF(ABS($G120-$H120)&gt;Tax_Tolerance,"Yes","No")</f>
        <v>No</v>
      </c>
      <c r="O120" s="161" t="str">
        <f>IF(OR(AND($F120="Inflow",LEFT($E120,LEN(Prefix_Outflow))=Prefix_Outflow),AND($F120="Outflow",LEFT($E120,LEN(Prefix_Inflow))=Prefix_Inflow)),"Yes","No")</f>
        <v>No</v>
      </c>
      <c r="P120" s="161" t="str" cm="1">
        <f t="array" ref="P120">IF(AND(COUNTIF(Suspect_Categories,$E120)&gt;0,SUMPRODUCT(--ISNUMBER(SEARCH(Suspect_Keywords,$I120&amp;" "&amp;$J120)))&gt;0),"Yes","No")</f>
        <v>No</v>
      </c>
      <c r="Q120" s="161" t="str">
        <f t="shared" si="0"/>
        <v>No</v>
      </c>
    </row>
    <row r="121" spans="1:17" x14ac:dyDescent="0.3">
      <c r="A121" s="11"/>
      <c r="B121" s="157" cm="1">
        <f t="array" ref="B121">INDEX(tbl_Ledger[Row ID],ROWS($B$27:$B121))</f>
        <v>95</v>
      </c>
      <c r="C121" s="158" cm="1">
        <f t="array" ref="C121">INDEX(tbl_Ledger[Date],ROWS($B$27:$B121))</f>
        <v>46096</v>
      </c>
      <c r="D121" s="157" t="str" cm="1">
        <f t="array" ref="D121">IF(INDEX(tbl_Ledger[Invoice Number],ROWS($B$27:$B121))="","",INDEX(tbl_Ledger[Invoice Number],ROWS($B$27:$B121)))</f>
        <v>SIN-2026-0032</v>
      </c>
      <c r="E121" s="157" t="str" cm="1">
        <f t="array" ref="E121">INDEX(tbl_Ledger[Tax Category],ROWS($B$27:$B121))</f>
        <v>IN_STD</v>
      </c>
      <c r="F121" s="157" t="str" cm="1">
        <f t="array" ref="F121">INDEX(tbl_Ledger[Direction],ROWS($B$27:$B121))</f>
        <v>Outflow</v>
      </c>
      <c r="G121" s="159" cm="1">
        <f t="array" ref="G121">INDEX(tbl_Ledger[Tax Charged on Invoice],ROWS($B$27:$B121))</f>
        <v>1740.6</v>
      </c>
      <c r="H121" s="159" cm="1">
        <f t="array" ref="H121">INDEX(tbl_Ledger[Expected Total Tax],ROWS($B$27:$B121))</f>
        <v>1740.6000000000001</v>
      </c>
      <c r="I121" s="159" t="str" cm="1">
        <f t="array" ref="I121">INDEX(tbl_Ledger[Description],ROWS($B$27:$B121))</f>
        <v>Workshop consumables and lubricants</v>
      </c>
      <c r="J121" s="159" t="str" cm="1">
        <f t="array" ref="J121">INDEX(tbl_Ledger[Counterparty],ROWS($B$27:$B121))</f>
        <v>Adom Telecom Ghana Ltd</v>
      </c>
      <c r="K121" s="160" t="str">
        <f>IF(COUNTIF(Dup_Exclusions,$E121)&gt;0,"No","Yes")</f>
        <v>Yes</v>
      </c>
      <c r="L121" s="161" t="str">
        <f>IF(AND($D121="",COUNTIF(NoInv_Exempt,$E121)=0),"Yes","No")</f>
        <v>No</v>
      </c>
      <c r="M121" s="161" t="str" cm="1">
        <f t="array" ref="M121">IF(AND($D121&lt;&gt;"",$K121="Yes"),IF(SUMPRODUCT((tbl_Ledger[Invoice Number]=$D121)*(COUNTIF(Dup_Exclusions,tbl_Ledger[Tax Category])=0))&gt;1,"Yes","No"),"No")</f>
        <v>No</v>
      </c>
      <c r="N121" s="161" t="str">
        <f>IF(ABS($G121-$H121)&gt;Tax_Tolerance,"Yes","No")</f>
        <v>No</v>
      </c>
      <c r="O121" s="161" t="str">
        <f>IF(OR(AND($F121="Inflow",LEFT($E121,LEN(Prefix_Outflow))=Prefix_Outflow),AND($F121="Outflow",LEFT($E121,LEN(Prefix_Inflow))=Prefix_Inflow)),"Yes","No")</f>
        <v>No</v>
      </c>
      <c r="P121" s="161" t="str" cm="1">
        <f t="array" ref="P121">IF(AND(COUNTIF(Suspect_Categories,$E121)&gt;0,SUMPRODUCT(--ISNUMBER(SEARCH(Suspect_Keywords,$I121&amp;" "&amp;$J121)))&gt;0),"Yes","No")</f>
        <v>No</v>
      </c>
      <c r="Q121" s="161" t="str">
        <f t="shared" si="0"/>
        <v>No</v>
      </c>
    </row>
    <row r="122" spans="1:17" x14ac:dyDescent="0.3">
      <c r="A122" s="11"/>
      <c r="B122" s="157" cm="1">
        <f t="array" ref="B122">INDEX(tbl_Ledger[Row ID],ROWS($B$27:$B122))</f>
        <v>96</v>
      </c>
      <c r="C122" s="158" cm="1">
        <f t="array" ref="C122">INDEX(tbl_Ledger[Date],ROWS($B$27:$B122))</f>
        <v>46096</v>
      </c>
      <c r="D122" s="157" t="str" cm="1">
        <f t="array" ref="D122">IF(INDEX(tbl_Ledger[Invoice Number],ROWS($B$27:$B122))="","",INDEX(tbl_Ledger[Invoice Number],ROWS($B$27:$B122)))</f>
        <v>LN-2026-0003</v>
      </c>
      <c r="E122" s="157" t="str" cm="1">
        <f t="array" ref="E122">INDEX(tbl_Ledger[Tax Category],ROWS($B$27:$B122))</f>
        <v>NO_VAT</v>
      </c>
      <c r="F122" s="157" t="str" cm="1">
        <f t="array" ref="F122">INDEX(tbl_Ledger[Direction],ROWS($B$27:$B122))</f>
        <v>Outflow</v>
      </c>
      <c r="G122" s="159" cm="1">
        <f t="array" ref="G122">INDEX(tbl_Ledger[Tax Charged on Invoice],ROWS($B$27:$B122))</f>
        <v>0</v>
      </c>
      <c r="H122" s="159" cm="1">
        <f t="array" ref="H122">INDEX(tbl_Ledger[Expected Total Tax],ROWS($B$27:$B122))</f>
        <v>0</v>
      </c>
      <c r="I122" s="159" t="str" cm="1">
        <f t="array" ref="I122">INDEX(tbl_Ledger[Description],ROWS($B$27:$B122))</f>
        <v>Term loan repayment - principal and interest, instalment 3</v>
      </c>
      <c r="J122" s="159" t="str" cm="1">
        <f t="array" ref="J122">INDEX(tbl_Ledger[Counterparty],ROWS($B$27:$B122))</f>
        <v>Meridian Bank Ghana Ltd</v>
      </c>
      <c r="K122" s="160" t="str">
        <f>IF(COUNTIF(Dup_Exclusions,$E122)&gt;0,"No","Yes")</f>
        <v>Yes</v>
      </c>
      <c r="L122" s="161" t="str">
        <f>IF(AND($D122="",COUNTIF(NoInv_Exempt,$E122)=0),"Yes","No")</f>
        <v>No</v>
      </c>
      <c r="M122" s="161" t="str" cm="1">
        <f t="array" ref="M122">IF(AND($D122&lt;&gt;"",$K122="Yes"),IF(SUMPRODUCT((tbl_Ledger[Invoice Number]=$D122)*(COUNTIF(Dup_Exclusions,tbl_Ledger[Tax Category])=0))&gt;1,"Yes","No"),"No")</f>
        <v>No</v>
      </c>
      <c r="N122" s="161" t="str">
        <f>IF(ABS($G122-$H122)&gt;Tax_Tolerance,"Yes","No")</f>
        <v>No</v>
      </c>
      <c r="O122" s="161" t="str">
        <f>IF(OR(AND($F122="Inflow",LEFT($E122,LEN(Prefix_Outflow))=Prefix_Outflow),AND($F122="Outflow",LEFT($E122,LEN(Prefix_Inflow))=Prefix_Inflow)),"Yes","No")</f>
        <v>No</v>
      </c>
      <c r="P122" s="161" t="str" cm="1">
        <f t="array" ref="P122">IF(AND(COUNTIF(Suspect_Categories,$E122)&gt;0,SUMPRODUCT(--ISNUMBER(SEARCH(Suspect_Keywords,$I122&amp;" "&amp;$J122)))&gt;0),"Yes","No")</f>
        <v>No</v>
      </c>
      <c r="Q122" s="161" t="str">
        <f t="shared" si="0"/>
        <v>No</v>
      </c>
    </row>
    <row r="123" spans="1:17" x14ac:dyDescent="0.3">
      <c r="A123" s="11"/>
      <c r="B123" s="157" cm="1">
        <f t="array" ref="B123">INDEX(tbl_Ledger[Row ID],ROWS($B$27:$B123))</f>
        <v>97</v>
      </c>
      <c r="C123" s="158" cm="1">
        <f t="array" ref="C123">INDEX(tbl_Ledger[Date],ROWS($B$27:$B123))</f>
        <v>46096</v>
      </c>
      <c r="D123" s="157" t="str" cm="1">
        <f t="array" ref="D123">IF(INDEX(tbl_Ledger[Invoice Number],ROWS($B$27:$B123))="","",INDEX(tbl_Ledger[Invoice Number],ROWS($B$27:$B123)))</f>
        <v>NHL-2026-0045</v>
      </c>
      <c r="E123" s="157" t="str" cm="1">
        <f t="array" ref="E123">INDEX(tbl_Ledger[Tax Category],ROWS($B$27:$B123))</f>
        <v>OUT_STD</v>
      </c>
      <c r="F123" s="157" t="str" cm="1">
        <f t="array" ref="F123">INDEX(tbl_Ledger[Direction],ROWS($B$27:$B123))</f>
        <v>Inflow</v>
      </c>
      <c r="G123" s="159" cm="1">
        <f t="array" ref="G123">INDEX(tbl_Ledger[Tax Charged on Invoice],ROWS($B$27:$B123))</f>
        <v>11969.6</v>
      </c>
      <c r="H123" s="159" cm="1">
        <f t="array" ref="H123">INDEX(tbl_Ledger[Expected Total Tax],ROWS($B$27:$B123))</f>
        <v>11969.6</v>
      </c>
      <c r="I123" s="159" t="str" cm="1">
        <f t="array" ref="I123">INDEX(tbl_Ledger[Description],ROWS($B$27:$B123))</f>
        <v>Bulk haulage of AGO, Takoradi-Wa, 7 trips</v>
      </c>
      <c r="J123" s="159" t="str" cm="1">
        <f t="array" ref="J123">INDEX(tbl_Ledger[Counterparty],ROWS($B$27:$B123))</f>
        <v>Pra River Energy Ltd</v>
      </c>
      <c r="K123" s="160" t="str">
        <f>IF(COUNTIF(Dup_Exclusions,$E123)&gt;0,"No","Yes")</f>
        <v>Yes</v>
      </c>
      <c r="L123" s="161" t="str">
        <f>IF(AND($D123="",COUNTIF(NoInv_Exempt,$E123)=0),"Yes","No")</f>
        <v>No</v>
      </c>
      <c r="M123" s="161" t="str" cm="1">
        <f t="array" ref="M123">IF(AND($D123&lt;&gt;"",$K123="Yes"),IF(SUMPRODUCT((tbl_Ledger[Invoice Number]=$D123)*(COUNTIF(Dup_Exclusions,tbl_Ledger[Tax Category])=0))&gt;1,"Yes","No"),"No")</f>
        <v>No</v>
      </c>
      <c r="N123" s="161" t="str">
        <f>IF(ABS($G123-$H123)&gt;Tax_Tolerance,"Yes","No")</f>
        <v>No</v>
      </c>
      <c r="O123" s="161" t="str">
        <f>IF(OR(AND($F123="Inflow",LEFT($E123,LEN(Prefix_Outflow))=Prefix_Outflow),AND($F123="Outflow",LEFT($E123,LEN(Prefix_Inflow))=Prefix_Inflow)),"Yes","No")</f>
        <v>No</v>
      </c>
      <c r="P123" s="161" t="str" cm="1">
        <f t="array" ref="P123">IF(AND(COUNTIF(Suspect_Categories,$E123)&gt;0,SUMPRODUCT(--ISNUMBER(SEARCH(Suspect_Keywords,$I123&amp;" "&amp;$J123)))&gt;0),"Yes","No")</f>
        <v>No</v>
      </c>
      <c r="Q123" s="161" t="str">
        <f t="shared" si="0"/>
        <v>No</v>
      </c>
    </row>
    <row r="124" spans="1:17" x14ac:dyDescent="0.3">
      <c r="A124" s="11"/>
      <c r="B124" s="157" cm="1">
        <f t="array" ref="B124">INDEX(tbl_Ledger[Row ID],ROWS($B$27:$B124))</f>
        <v>98</v>
      </c>
      <c r="C124" s="158" cm="1">
        <f t="array" ref="C124">INDEX(tbl_Ledger[Date],ROWS($B$27:$B124))</f>
        <v>46098</v>
      </c>
      <c r="D124" s="157" t="str" cm="1">
        <f t="array" ref="D124">IF(INDEX(tbl_Ledger[Invoice Number],ROWS($B$27:$B124))="","",INDEX(tbl_Ledger[Invoice Number],ROWS($B$27:$B124)))</f>
        <v>SIN-2026-0033</v>
      </c>
      <c r="E124" s="157" t="str" cm="1">
        <f t="array" ref="E124">INDEX(tbl_Ledger[Tax Category],ROWS($B$27:$B124))</f>
        <v>IN_EXEMPT</v>
      </c>
      <c r="F124" s="157" t="str" cm="1">
        <f t="array" ref="F124">INDEX(tbl_Ledger[Direction],ROWS($B$27:$B124))</f>
        <v>Outflow</v>
      </c>
      <c r="G124" s="159" cm="1">
        <f t="array" ref="G124">INDEX(tbl_Ledger[Tax Charged on Invoice],ROWS($B$27:$B124))</f>
        <v>0</v>
      </c>
      <c r="H124" s="159" cm="1">
        <f t="array" ref="H124">INDEX(tbl_Ledger[Expected Total Tax],ROWS($B$27:$B124))</f>
        <v>0</v>
      </c>
      <c r="I124" s="159" t="str" cm="1">
        <f t="array" ref="I124">INDEX(tbl_Ledger[Description],ROWS($B$27:$B124))</f>
        <v>Diesel (AGO) purchased for own fleet use, 17,746 litres</v>
      </c>
      <c r="J124" s="159" t="str" cm="1">
        <f t="array" ref="J124">INDEX(tbl_Ledger[Counterparty],ROWS($B$27:$B124))</f>
        <v>Zenith Fuel Depot Ltd</v>
      </c>
      <c r="K124" s="160" t="str">
        <f>IF(COUNTIF(Dup_Exclusions,$E124)&gt;0,"No","Yes")</f>
        <v>Yes</v>
      </c>
      <c r="L124" s="161" t="str">
        <f>IF(AND($D124="",COUNTIF(NoInv_Exempt,$E124)=0),"Yes","No")</f>
        <v>No</v>
      </c>
      <c r="M124" s="161" t="str" cm="1">
        <f t="array" ref="M124">IF(AND($D124&lt;&gt;"",$K124="Yes"),IF(SUMPRODUCT((tbl_Ledger[Invoice Number]=$D124)*(COUNTIF(Dup_Exclusions,tbl_Ledger[Tax Category])=0))&gt;1,"Yes","No"),"No")</f>
        <v>No</v>
      </c>
      <c r="N124" s="161" t="str">
        <f>IF(ABS($G124-$H124)&gt;Tax_Tolerance,"Yes","No")</f>
        <v>No</v>
      </c>
      <c r="O124" s="161" t="str">
        <f>IF(OR(AND($F124="Inflow",LEFT($E124,LEN(Prefix_Outflow))=Prefix_Outflow),AND($F124="Outflow",LEFT($E124,LEN(Prefix_Inflow))=Prefix_Inflow)),"Yes","No")</f>
        <v>No</v>
      </c>
      <c r="P124" s="161" t="str" cm="1">
        <f t="array" ref="P124">IF(AND(COUNTIF(Suspect_Categories,$E124)&gt;0,SUMPRODUCT(--ISNUMBER(SEARCH(Suspect_Keywords,$I124&amp;" "&amp;$J124)))&gt;0),"Yes","No")</f>
        <v>No</v>
      </c>
      <c r="Q124" s="161" t="str">
        <f t="shared" si="0"/>
        <v>No</v>
      </c>
    </row>
    <row r="125" spans="1:17" x14ac:dyDescent="0.3">
      <c r="A125" s="11"/>
      <c r="B125" s="157" cm="1">
        <f t="array" ref="B125">INDEX(tbl_Ledger[Row ID],ROWS($B$27:$B125))</f>
        <v>99</v>
      </c>
      <c r="C125" s="158" cm="1">
        <f t="array" ref="C125">INDEX(tbl_Ledger[Date],ROWS($B$27:$B125))</f>
        <v>46098</v>
      </c>
      <c r="D125" s="157" t="str" cm="1">
        <f t="array" ref="D125">IF(INDEX(tbl_Ledger[Invoice Number],ROWS($B$27:$B125))="","",INDEX(tbl_Ledger[Invoice Number],ROWS($B$27:$B125)))</f>
        <v>SIN-2026-0081</v>
      </c>
      <c r="E125" s="157" t="str" cm="1">
        <f t="array" ref="E125">INDEX(tbl_Ledger[Tax Category],ROWS($B$27:$B125))</f>
        <v>IN_STD</v>
      </c>
      <c r="F125" s="157" t="str" cm="1">
        <f t="array" ref="F125">INDEX(tbl_Ledger[Direction],ROWS($B$27:$B125))</f>
        <v>Outflow</v>
      </c>
      <c r="G125" s="159" cm="1">
        <f t="array" ref="G125">INDEX(tbl_Ledger[Tax Charged on Invoice],ROWS($B$27:$B125))</f>
        <v>981.2</v>
      </c>
      <c r="H125" s="159" cm="1">
        <f t="array" ref="H125">INDEX(tbl_Ledger[Expected Total Tax],ROWS($B$27:$B125))</f>
        <v>981.19999999999993</v>
      </c>
      <c r="I125" s="159" t="str" cm="1">
        <f t="array" ref="I125">INDEX(tbl_Ledger[Description],ROWS($B$27:$B125))</f>
        <v>Workshop consumables and lubricants</v>
      </c>
      <c r="J125" s="159" t="str" cm="1">
        <f t="array" ref="J125">INDEX(tbl_Ledger[Counterparty],ROWS($B$27:$B125))</f>
        <v>Bono Workshop Services Ltd</v>
      </c>
      <c r="K125" s="160" t="str">
        <f>IF(COUNTIF(Dup_Exclusions,$E125)&gt;0,"No","Yes")</f>
        <v>Yes</v>
      </c>
      <c r="L125" s="161" t="str">
        <f>IF(AND($D125="",COUNTIF(NoInv_Exempt,$E125)=0),"Yes","No")</f>
        <v>No</v>
      </c>
      <c r="M125" s="161" t="str" cm="1">
        <f t="array" ref="M125">IF(AND($D125&lt;&gt;"",$K125="Yes"),IF(SUMPRODUCT((tbl_Ledger[Invoice Number]=$D125)*(COUNTIF(Dup_Exclusions,tbl_Ledger[Tax Category])=0))&gt;1,"Yes","No"),"No")</f>
        <v>Yes</v>
      </c>
      <c r="N125" s="161" t="str">
        <f>IF(ABS($G125-$H125)&gt;Tax_Tolerance,"Yes","No")</f>
        <v>No</v>
      </c>
      <c r="O125" s="161" t="str">
        <f>IF(OR(AND($F125="Inflow",LEFT($E125,LEN(Prefix_Outflow))=Prefix_Outflow),AND($F125="Outflow",LEFT($E125,LEN(Prefix_Inflow))=Prefix_Inflow)),"Yes","No")</f>
        <v>No</v>
      </c>
      <c r="P125" s="161" t="str" cm="1">
        <f t="array" ref="P125">IF(AND(COUNTIF(Suspect_Categories,$E125)&gt;0,SUMPRODUCT(--ISNUMBER(SEARCH(Suspect_Keywords,$I125&amp;" "&amp;$J125)))&gt;0),"Yes","No")</f>
        <v>No</v>
      </c>
      <c r="Q125" s="161" t="str">
        <f t="shared" si="0"/>
        <v>Yes</v>
      </c>
    </row>
    <row r="126" spans="1:17" x14ac:dyDescent="0.3">
      <c r="A126" s="11"/>
      <c r="B126" s="157" cm="1">
        <f t="array" ref="B126">INDEX(tbl_Ledger[Row ID],ROWS($B$27:$B126))</f>
        <v>100</v>
      </c>
      <c r="C126" s="158" cm="1">
        <f t="array" ref="C126">INDEX(tbl_Ledger[Date],ROWS($B$27:$B126))</f>
        <v>46099</v>
      </c>
      <c r="D126" s="157" t="str" cm="1">
        <f t="array" ref="D126">IF(INDEX(tbl_Ledger[Invoice Number],ROWS($B$27:$B126))="","",INDEX(tbl_Ledger[Invoice Number],ROWS($B$27:$B126)))</f>
        <v>NHL-2026-0046</v>
      </c>
      <c r="E126" s="157" t="str" cm="1">
        <f t="array" ref="E126">INDEX(tbl_Ledger[Tax Category],ROWS($B$27:$B126))</f>
        <v>WHT_SVC</v>
      </c>
      <c r="F126" s="157" t="str" cm="1">
        <f t="array" ref="F126">INDEX(tbl_Ledger[Direction],ROWS($B$27:$B126))</f>
        <v>Inflow</v>
      </c>
      <c r="G126" s="159" cm="1">
        <f t="array" ref="G126">INDEX(tbl_Ledger[Tax Charged on Invoice],ROWS($B$27:$B126))</f>
        <v>9852</v>
      </c>
      <c r="H126" s="159" cm="1">
        <f t="array" ref="H126">INDEX(tbl_Ledger[Expected Total Tax],ROWS($B$27:$B126))</f>
        <v>9852</v>
      </c>
      <c r="I126" s="159" t="str" cm="1">
        <f t="array" ref="I126">INDEX(tbl_Ledger[Description],ROWS($B$27:$B126))</f>
        <v>Contract haulage of ATK, Takoradi-Wa; customer withheld income tax at 7.5% on the service fee</v>
      </c>
      <c r="J126" s="159" t="str" cm="1">
        <f t="array" ref="J126">INDEX(tbl_Ledger[Counterparty],ROWS($B$27:$B126))</f>
        <v>Tema Bulk Energy Ltd</v>
      </c>
      <c r="K126" s="160" t="str">
        <f>IF(COUNTIF(Dup_Exclusions,$E126)&gt;0,"No","Yes")</f>
        <v>Yes</v>
      </c>
      <c r="L126" s="161" t="str">
        <f>IF(AND($D126="",COUNTIF(NoInv_Exempt,$E126)=0),"Yes","No")</f>
        <v>No</v>
      </c>
      <c r="M126" s="161" t="str" cm="1">
        <f t="array" ref="M126">IF(AND($D126&lt;&gt;"",$K126="Yes"),IF(SUMPRODUCT((tbl_Ledger[Invoice Number]=$D126)*(COUNTIF(Dup_Exclusions,tbl_Ledger[Tax Category])=0))&gt;1,"Yes","No"),"No")</f>
        <v>No</v>
      </c>
      <c r="N126" s="161" t="str">
        <f>IF(ABS($G126-$H126)&gt;Tax_Tolerance,"Yes","No")</f>
        <v>No</v>
      </c>
      <c r="O126" s="161" t="str">
        <f>IF(OR(AND($F126="Inflow",LEFT($E126,LEN(Prefix_Outflow))=Prefix_Outflow),AND($F126="Outflow",LEFT($E126,LEN(Prefix_Inflow))=Prefix_Inflow)),"Yes","No")</f>
        <v>No</v>
      </c>
      <c r="P126" s="161" t="str" cm="1">
        <f t="array" ref="P126">IF(AND(COUNTIF(Suspect_Categories,$E126)&gt;0,SUMPRODUCT(--ISNUMBER(SEARCH(Suspect_Keywords,$I126&amp;" "&amp;$J126)))&gt;0),"Yes","No")</f>
        <v>No</v>
      </c>
      <c r="Q126" s="161" t="str">
        <f t="shared" si="0"/>
        <v>No</v>
      </c>
    </row>
    <row r="127" spans="1:17" x14ac:dyDescent="0.3">
      <c r="A127" s="11"/>
      <c r="B127" s="157" cm="1">
        <f t="array" ref="B127">INDEX(tbl_Ledger[Row ID],ROWS($B$27:$B127))</f>
        <v>101</v>
      </c>
      <c r="C127" s="158" cm="1">
        <f t="array" ref="C127">INDEX(tbl_Ledger[Date],ROWS($B$27:$B127))</f>
        <v>46100</v>
      </c>
      <c r="D127" s="157" t="str" cm="1">
        <f t="array" ref="D127">IF(INDEX(tbl_Ledger[Invoice Number],ROWS($B$27:$B127))="","",INDEX(tbl_Ledger[Invoice Number],ROWS($B$27:$B127)))</f>
        <v>BNK-2026-0010</v>
      </c>
      <c r="E127" s="157" t="str" cm="1">
        <f t="array" ref="E127">INDEX(tbl_Ledger[Tax Category],ROWS($B$27:$B127))</f>
        <v>IN_EXEMPT</v>
      </c>
      <c r="F127" s="157" t="str" cm="1">
        <f t="array" ref="F127">INDEX(tbl_Ledger[Direction],ROWS($B$27:$B127))</f>
        <v>Outflow</v>
      </c>
      <c r="G127" s="159" cm="1">
        <f t="array" ref="G127">INDEX(tbl_Ledger[Tax Charged on Invoice],ROWS($B$27:$B127))</f>
        <v>104.2</v>
      </c>
      <c r="H127" s="159" cm="1">
        <f t="array" ref="H127">INDEX(tbl_Ledger[Expected Total Tax],ROWS($B$27:$B127))</f>
        <v>0</v>
      </c>
      <c r="I127" s="159" t="str" cm="1">
        <f t="array" ref="I127">INDEX(tbl_Ledger[Description],ROWS($B$27:$B127))</f>
        <v>Transfer and settlement charges</v>
      </c>
      <c r="J127" s="159" t="str" cm="1">
        <f t="array" ref="J127">INDEX(tbl_Ledger[Counterparty],ROWS($B$27:$B127))</f>
        <v>Meridian Bank Ghana Ltd</v>
      </c>
      <c r="K127" s="160" t="str">
        <f>IF(COUNTIF(Dup_Exclusions,$E127)&gt;0,"No","Yes")</f>
        <v>Yes</v>
      </c>
      <c r="L127" s="161" t="str">
        <f>IF(AND($D127="",COUNTIF(NoInv_Exempt,$E127)=0),"Yes","No")</f>
        <v>No</v>
      </c>
      <c r="M127" s="161" t="str" cm="1">
        <f t="array" ref="M127">IF(AND($D127&lt;&gt;"",$K127="Yes"),IF(SUMPRODUCT((tbl_Ledger[Invoice Number]=$D127)*(COUNTIF(Dup_Exclusions,tbl_Ledger[Tax Category])=0))&gt;1,"Yes","No"),"No")</f>
        <v>No</v>
      </c>
      <c r="N127" s="161" t="str">
        <f>IF(ABS($G127-$H127)&gt;Tax_Tolerance,"Yes","No")</f>
        <v>Yes</v>
      </c>
      <c r="O127" s="161" t="str">
        <f>IF(OR(AND($F127="Inflow",LEFT($E127,LEN(Prefix_Outflow))=Prefix_Outflow),AND($F127="Outflow",LEFT($E127,LEN(Prefix_Inflow))=Prefix_Inflow)),"Yes","No")</f>
        <v>No</v>
      </c>
      <c r="P127" s="161" t="str" cm="1">
        <f t="array" ref="P127">IF(AND(COUNTIF(Suspect_Categories,$E127)&gt;0,SUMPRODUCT(--ISNUMBER(SEARCH(Suspect_Keywords,$I127&amp;" "&amp;$J127)))&gt;0),"Yes","No")</f>
        <v>No</v>
      </c>
      <c r="Q127" s="161" t="str">
        <f t="shared" si="0"/>
        <v>Yes</v>
      </c>
    </row>
    <row r="128" spans="1:17" x14ac:dyDescent="0.3">
      <c r="A128" s="11"/>
      <c r="B128" s="157" cm="1">
        <f t="array" ref="B128">INDEX(tbl_Ledger[Row ID],ROWS($B$27:$B128))</f>
        <v>102</v>
      </c>
      <c r="C128" s="158" cm="1">
        <f t="array" ref="C128">INDEX(tbl_Ledger[Date],ROWS($B$27:$B128))</f>
        <v>46100</v>
      </c>
      <c r="D128" s="157" t="str" cm="1">
        <f t="array" ref="D128">IF(INDEX(tbl_Ledger[Invoice Number],ROWS($B$27:$B128))="","",INDEX(tbl_Ledger[Invoice Number],ROWS($B$27:$B128)))</f>
        <v>SIN-2026-0035</v>
      </c>
      <c r="E128" s="157" t="str" cm="1">
        <f t="array" ref="E128">INDEX(tbl_Ledger[Tax Category],ROWS($B$27:$B128))</f>
        <v>IN_EXEMPT</v>
      </c>
      <c r="F128" s="157" t="str" cm="1">
        <f t="array" ref="F128">INDEX(tbl_Ledger[Direction],ROWS($B$27:$B128))</f>
        <v>Outflow</v>
      </c>
      <c r="G128" s="159" cm="1">
        <f t="array" ref="G128">INDEX(tbl_Ledger[Tax Charged on Invoice],ROWS($B$27:$B128))</f>
        <v>0</v>
      </c>
      <c r="H128" s="159" cm="1">
        <f t="array" ref="H128">INDEX(tbl_Ledger[Expected Total Tax],ROWS($B$27:$B128))</f>
        <v>0</v>
      </c>
      <c r="I128" s="159" t="str" cm="1">
        <f t="array" ref="I128">INDEX(tbl_Ledger[Description],ROWS($B$27:$B128))</f>
        <v>Motor fleet insurance premium</v>
      </c>
      <c r="J128" s="159" t="str" cm="1">
        <f t="array" ref="J128">INDEX(tbl_Ledger[Counterparty],ROWS($B$27:$B128))</f>
        <v>Unity Assurance Ltd</v>
      </c>
      <c r="K128" s="160" t="str">
        <f>IF(COUNTIF(Dup_Exclusions,$E128)&gt;0,"No","Yes")</f>
        <v>Yes</v>
      </c>
      <c r="L128" s="161" t="str">
        <f>IF(AND($D128="",COUNTIF(NoInv_Exempt,$E128)=0),"Yes","No")</f>
        <v>No</v>
      </c>
      <c r="M128" s="161" t="str" cm="1">
        <f t="array" ref="M128">IF(AND($D128&lt;&gt;"",$K128="Yes"),IF(SUMPRODUCT((tbl_Ledger[Invoice Number]=$D128)*(COUNTIF(Dup_Exclusions,tbl_Ledger[Tax Category])=0))&gt;1,"Yes","No"),"No")</f>
        <v>No</v>
      </c>
      <c r="N128" s="161" t="str">
        <f>IF(ABS($G128-$H128)&gt;Tax_Tolerance,"Yes","No")</f>
        <v>No</v>
      </c>
      <c r="O128" s="161" t="str">
        <f>IF(OR(AND($F128="Inflow",LEFT($E128,LEN(Prefix_Outflow))=Prefix_Outflow),AND($F128="Outflow",LEFT($E128,LEN(Prefix_Inflow))=Prefix_Inflow)),"Yes","No")</f>
        <v>No</v>
      </c>
      <c r="P128" s="161" t="str" cm="1">
        <f t="array" ref="P128">IF(AND(COUNTIF(Suspect_Categories,$E128)&gt;0,SUMPRODUCT(--ISNUMBER(SEARCH(Suspect_Keywords,$I128&amp;" "&amp;$J128)))&gt;0),"Yes","No")</f>
        <v>No</v>
      </c>
      <c r="Q128" s="161" t="str">
        <f t="shared" si="0"/>
        <v>No</v>
      </c>
    </row>
    <row r="129" spans="1:17" x14ac:dyDescent="0.3">
      <c r="A129" s="11"/>
      <c r="B129" s="157" cm="1">
        <f t="array" ref="B129">INDEX(tbl_Ledger[Row ID],ROWS($B$27:$B129))</f>
        <v>103</v>
      </c>
      <c r="C129" s="158" cm="1">
        <f t="array" ref="C129">INDEX(tbl_Ledger[Date],ROWS($B$27:$B129))</f>
        <v>46101</v>
      </c>
      <c r="D129" s="157" t="str" cm="1">
        <f t="array" ref="D129">IF(INDEX(tbl_Ledger[Invoice Number],ROWS($B$27:$B129))="","",INDEX(tbl_Ledger[Invoice Number],ROWS($B$27:$B129)))</f>
        <v>SIN-2026-0036</v>
      </c>
      <c r="E129" s="157" t="str" cm="1">
        <f t="array" ref="E129">INDEX(tbl_Ledger[Tax Category],ROWS($B$27:$B129))</f>
        <v>IN_STD</v>
      </c>
      <c r="F129" s="157" t="str" cm="1">
        <f t="array" ref="F129">INDEX(tbl_Ledger[Direction],ROWS($B$27:$B129))</f>
        <v>Outflow</v>
      </c>
      <c r="G129" s="159" cm="1">
        <f t="array" ref="G129">INDEX(tbl_Ledger[Tax Charged on Invoice],ROWS($B$27:$B129))</f>
        <v>4350</v>
      </c>
      <c r="H129" s="159" cm="1">
        <f t="array" ref="H129">INDEX(tbl_Ledger[Expected Total Tax],ROWS($B$27:$B129))</f>
        <v>4350</v>
      </c>
      <c r="I129" s="159" t="str" cm="1">
        <f t="array" ref="I129">INDEX(tbl_Ledger[Description],ROWS($B$27:$B129))</f>
        <v>Motor fleet insurance premium</v>
      </c>
      <c r="J129" s="159" t="str" cm="1">
        <f t="array" ref="J129">INDEX(tbl_Ledger[Counterparty],ROWS($B$27:$B129))</f>
        <v>Pillar Insurance Ghana Ltd</v>
      </c>
      <c r="K129" s="160" t="str">
        <f>IF(COUNTIF(Dup_Exclusions,$E129)&gt;0,"No","Yes")</f>
        <v>Yes</v>
      </c>
      <c r="L129" s="161" t="str">
        <f>IF(AND($D129="",COUNTIF(NoInv_Exempt,$E129)=0),"Yes","No")</f>
        <v>No</v>
      </c>
      <c r="M129" s="161" t="str" cm="1">
        <f t="array" ref="M129">IF(AND($D129&lt;&gt;"",$K129="Yes"),IF(SUMPRODUCT((tbl_Ledger[Invoice Number]=$D129)*(COUNTIF(Dup_Exclusions,tbl_Ledger[Tax Category])=0))&gt;1,"Yes","No"),"No")</f>
        <v>No</v>
      </c>
      <c r="N129" s="161" t="str">
        <f>IF(ABS($G129-$H129)&gt;Tax_Tolerance,"Yes","No")</f>
        <v>No</v>
      </c>
      <c r="O129" s="161" t="str">
        <f>IF(OR(AND($F129="Inflow",LEFT($E129,LEN(Prefix_Outflow))=Prefix_Outflow),AND($F129="Outflow",LEFT($E129,LEN(Prefix_Inflow))=Prefix_Inflow)),"Yes","No")</f>
        <v>No</v>
      </c>
      <c r="P129" s="161" t="str" cm="1">
        <f t="array" ref="P129">IF(AND(COUNTIF(Suspect_Categories,$E129)&gt;0,SUMPRODUCT(--ISNUMBER(SEARCH(Suspect_Keywords,$I129&amp;" "&amp;$J129)))&gt;0),"Yes","No")</f>
        <v>Yes</v>
      </c>
      <c r="Q129" s="161" t="str">
        <f t="shared" si="0"/>
        <v>Yes</v>
      </c>
    </row>
    <row r="130" spans="1:17" x14ac:dyDescent="0.3">
      <c r="A130" s="11"/>
      <c r="B130" s="157" cm="1">
        <f t="array" ref="B130">INDEX(tbl_Ledger[Row ID],ROWS($B$27:$B130))</f>
        <v>104</v>
      </c>
      <c r="C130" s="158" cm="1">
        <f t="array" ref="C130">INDEX(tbl_Ledger[Date],ROWS($B$27:$B130))</f>
        <v>46104</v>
      </c>
      <c r="D130" s="157" t="str" cm="1">
        <f t="array" ref="D130">IF(INDEX(tbl_Ledger[Invoice Number],ROWS($B$27:$B130))="","",INDEX(tbl_Ledger[Invoice Number],ROWS($B$27:$B130)))</f>
        <v>SIN-2026-0037</v>
      </c>
      <c r="E130" s="157" t="str" cm="1">
        <f t="array" ref="E130">INDEX(tbl_Ledger[Tax Category],ROWS($B$27:$B130))</f>
        <v>IN_EXEMPT</v>
      </c>
      <c r="F130" s="157" t="str" cm="1">
        <f t="array" ref="F130">INDEX(tbl_Ledger[Direction],ROWS($B$27:$B130))</f>
        <v>Outflow</v>
      </c>
      <c r="G130" s="159" cm="1">
        <f t="array" ref="G130">INDEX(tbl_Ledger[Tax Charged on Invoice],ROWS($B$27:$B130))</f>
        <v>0</v>
      </c>
      <c r="H130" s="159" cm="1">
        <f t="array" ref="H130">INDEX(tbl_Ledger[Expected Total Tax],ROWS($B$27:$B130))</f>
        <v>0</v>
      </c>
      <c r="I130" s="159" t="str" cm="1">
        <f t="array" ref="I130">INDEX(tbl_Ledger[Description],ROWS($B$27:$B130))</f>
        <v>Diesel (AGO) purchased for own fleet use, 21,989 litres</v>
      </c>
      <c r="J130" s="159" t="str" cm="1">
        <f t="array" ref="J130">INDEX(tbl_Ledger[Counterparty],ROWS($B$27:$B130))</f>
        <v>Zenith Fuel Depot Ltd</v>
      </c>
      <c r="K130" s="160" t="str">
        <f>IF(COUNTIF(Dup_Exclusions,$E130)&gt;0,"No","Yes")</f>
        <v>Yes</v>
      </c>
      <c r="L130" s="161" t="str">
        <f>IF(AND($D130="",COUNTIF(NoInv_Exempt,$E130)=0),"Yes","No")</f>
        <v>No</v>
      </c>
      <c r="M130" s="161" t="str" cm="1">
        <f t="array" ref="M130">IF(AND($D130&lt;&gt;"",$K130="Yes"),IF(SUMPRODUCT((tbl_Ledger[Invoice Number]=$D130)*(COUNTIF(Dup_Exclusions,tbl_Ledger[Tax Category])=0))&gt;1,"Yes","No"),"No")</f>
        <v>No</v>
      </c>
      <c r="N130" s="161" t="str">
        <f>IF(ABS($G130-$H130)&gt;Tax_Tolerance,"Yes","No")</f>
        <v>No</v>
      </c>
      <c r="O130" s="161" t="str">
        <f>IF(OR(AND($F130="Inflow",LEFT($E130,LEN(Prefix_Outflow))=Prefix_Outflow),AND($F130="Outflow",LEFT($E130,LEN(Prefix_Inflow))=Prefix_Inflow)),"Yes","No")</f>
        <v>No</v>
      </c>
      <c r="P130" s="161" t="str" cm="1">
        <f t="array" ref="P130">IF(AND(COUNTIF(Suspect_Categories,$E130)&gt;0,SUMPRODUCT(--ISNUMBER(SEARCH(Suspect_Keywords,$I130&amp;" "&amp;$J130)))&gt;0),"Yes","No")</f>
        <v>No</v>
      </c>
      <c r="Q130" s="161" t="str">
        <f t="shared" si="0"/>
        <v>No</v>
      </c>
    </row>
    <row r="131" spans="1:17" x14ac:dyDescent="0.3">
      <c r="A131" s="11"/>
      <c r="B131" s="157" cm="1">
        <f t="array" ref="B131">INDEX(tbl_Ledger[Row ID],ROWS($B$27:$B131))</f>
        <v>105</v>
      </c>
      <c r="C131" s="158" cm="1">
        <f t="array" ref="C131">INDEX(tbl_Ledger[Date],ROWS($B$27:$B131))</f>
        <v>46104</v>
      </c>
      <c r="D131" s="157" t="str" cm="1">
        <f t="array" ref="D131">IF(INDEX(tbl_Ledger[Invoice Number],ROWS($B$27:$B131))="","",INDEX(tbl_Ledger[Invoice Number],ROWS($B$27:$B131)))</f>
        <v>GRA-2026-0006</v>
      </c>
      <c r="E131" s="157" t="str" cm="1">
        <f t="array" ref="E131">INDEX(tbl_Ledger[Tax Category],ROWS($B$27:$B131))</f>
        <v>NO_VAT</v>
      </c>
      <c r="F131" s="157" t="str" cm="1">
        <f t="array" ref="F131">INDEX(tbl_Ledger[Direction],ROWS($B$27:$B131))</f>
        <v>Outflow</v>
      </c>
      <c r="G131" s="159" cm="1">
        <f t="array" ref="G131">INDEX(tbl_Ledger[Tax Charged on Invoice],ROWS($B$27:$B131))</f>
        <v>0</v>
      </c>
      <c r="H131" s="159" cm="1">
        <f t="array" ref="H131">INDEX(tbl_Ledger[Expected Total Tax],ROWS($B$27:$B131))</f>
        <v>0</v>
      </c>
      <c r="I131" s="159" t="str" cm="1">
        <f t="array" ref="I131">INDEX(tbl_Ledger[Description],ROWS($B$27:$B131))</f>
        <v>VAT and levies remitted to GRA for March period</v>
      </c>
      <c r="J131" s="159" t="str" cm="1">
        <f t="array" ref="J131">INDEX(tbl_Ledger[Counterparty],ROWS($B$27:$B131))</f>
        <v>Ghana Revenue Authority</v>
      </c>
      <c r="K131" s="160" t="str">
        <f>IF(COUNTIF(Dup_Exclusions,$E131)&gt;0,"No","Yes")</f>
        <v>Yes</v>
      </c>
      <c r="L131" s="161" t="str">
        <f>IF(AND($D131="",COUNTIF(NoInv_Exempt,$E131)=0),"Yes","No")</f>
        <v>No</v>
      </c>
      <c r="M131" s="161" t="str" cm="1">
        <f t="array" ref="M131">IF(AND($D131&lt;&gt;"",$K131="Yes"),IF(SUMPRODUCT((tbl_Ledger[Invoice Number]=$D131)*(COUNTIF(Dup_Exclusions,tbl_Ledger[Tax Category])=0))&gt;1,"Yes","No"),"No")</f>
        <v>No</v>
      </c>
      <c r="N131" s="161" t="str">
        <f>IF(ABS($G131-$H131)&gt;Tax_Tolerance,"Yes","No")</f>
        <v>No</v>
      </c>
      <c r="O131" s="161" t="str">
        <f>IF(OR(AND($F131="Inflow",LEFT($E131,LEN(Prefix_Outflow))=Prefix_Outflow),AND($F131="Outflow",LEFT($E131,LEN(Prefix_Inflow))=Prefix_Inflow)),"Yes","No")</f>
        <v>No</v>
      </c>
      <c r="P131" s="161" t="str" cm="1">
        <f t="array" ref="P131">IF(AND(COUNTIF(Suspect_Categories,$E131)&gt;0,SUMPRODUCT(--ISNUMBER(SEARCH(Suspect_Keywords,$I131&amp;" "&amp;$J131)))&gt;0),"Yes","No")</f>
        <v>No</v>
      </c>
      <c r="Q131" s="161" t="str">
        <f t="shared" si="0"/>
        <v>No</v>
      </c>
    </row>
    <row r="132" spans="1:17" x14ac:dyDescent="0.3">
      <c r="A132" s="11"/>
      <c r="B132" s="157" cm="1">
        <f t="array" ref="B132">INDEX(tbl_Ledger[Row ID],ROWS($B$27:$B132))</f>
        <v>106</v>
      </c>
      <c r="C132" s="158" cm="1">
        <f t="array" ref="C132">INDEX(tbl_Ledger[Date],ROWS($B$27:$B132))</f>
        <v>46105</v>
      </c>
      <c r="D132" s="157" t="str" cm="1">
        <f t="array" ref="D132">IF(INDEX(tbl_Ledger[Invoice Number],ROWS($B$27:$B132))="","",INDEX(tbl_Ledger[Invoice Number],ROWS($B$27:$B132)))</f>
        <v>SIN-2026-0038</v>
      </c>
      <c r="E132" s="157" t="str" cm="1">
        <f t="array" ref="E132">INDEX(tbl_Ledger[Tax Category],ROWS($B$27:$B132))</f>
        <v>IN_STD</v>
      </c>
      <c r="F132" s="157" t="str" cm="1">
        <f t="array" ref="F132">INDEX(tbl_Ledger[Direction],ROWS($B$27:$B132))</f>
        <v>Outflow</v>
      </c>
      <c r="G132" s="159" cm="1">
        <f t="array" ref="G132">INDEX(tbl_Ledger[Tax Charged on Invoice],ROWS($B$27:$B132))</f>
        <v>2487</v>
      </c>
      <c r="H132" s="159" cm="1">
        <f t="array" ref="H132">INDEX(tbl_Ledger[Expected Total Tax],ROWS($B$27:$B132))</f>
        <v>2487</v>
      </c>
      <c r="I132" s="159" t="str" cm="1">
        <f t="array" ref="I132">INDEX(tbl_Ledger[Description],ROWS($B$27:$B132))</f>
        <v>Depot security services</v>
      </c>
      <c r="J132" s="159" t="str" cm="1">
        <f t="array" ref="J132">INDEX(tbl_Ledger[Counterparty],ROWS($B$27:$B132))</f>
        <v>Kumasi Tyre Centre Ltd</v>
      </c>
      <c r="K132" s="160" t="str">
        <f>IF(COUNTIF(Dup_Exclusions,$E132)&gt;0,"No","Yes")</f>
        <v>Yes</v>
      </c>
      <c r="L132" s="161" t="str">
        <f>IF(AND($D132="",COUNTIF(NoInv_Exempt,$E132)=0),"Yes","No")</f>
        <v>No</v>
      </c>
      <c r="M132" s="161" t="str" cm="1">
        <f t="array" ref="M132">IF(AND($D132&lt;&gt;"",$K132="Yes"),IF(SUMPRODUCT((tbl_Ledger[Invoice Number]=$D132)*(COUNTIF(Dup_Exclusions,tbl_Ledger[Tax Category])=0))&gt;1,"Yes","No"),"No")</f>
        <v>No</v>
      </c>
      <c r="N132" s="161" t="str">
        <f>IF(ABS($G132-$H132)&gt;Tax_Tolerance,"Yes","No")</f>
        <v>No</v>
      </c>
      <c r="O132" s="161" t="str">
        <f>IF(OR(AND($F132="Inflow",LEFT($E132,LEN(Prefix_Outflow))=Prefix_Outflow),AND($F132="Outflow",LEFT($E132,LEN(Prefix_Inflow))=Prefix_Inflow)),"Yes","No")</f>
        <v>No</v>
      </c>
      <c r="P132" s="161" t="str" cm="1">
        <f t="array" ref="P132">IF(AND(COUNTIF(Suspect_Categories,$E132)&gt;0,SUMPRODUCT(--ISNUMBER(SEARCH(Suspect_Keywords,$I132&amp;" "&amp;$J132)))&gt;0),"Yes","No")</f>
        <v>No</v>
      </c>
      <c r="Q132" s="161" t="str">
        <f t="shared" si="0"/>
        <v>No</v>
      </c>
    </row>
    <row r="133" spans="1:17" x14ac:dyDescent="0.3">
      <c r="A133" s="11"/>
      <c r="B133" s="157" cm="1">
        <f t="array" ref="B133">INDEX(tbl_Ledger[Row ID],ROWS($B$27:$B133))</f>
        <v>107</v>
      </c>
      <c r="C133" s="158" cm="1">
        <f t="array" ref="C133">INDEX(tbl_Ledger[Date],ROWS($B$27:$B133))</f>
        <v>46105</v>
      </c>
      <c r="D133" s="157" t="str" cm="1">
        <f t="array" ref="D133">IF(INDEX(tbl_Ledger[Invoice Number],ROWS($B$27:$B133))="","",INDEX(tbl_Ledger[Invoice Number],ROWS($B$27:$B133)))</f>
        <v>JNL-2026-0002</v>
      </c>
      <c r="E133" s="157" t="str" cm="1">
        <f t="array" ref="E133">INDEX(tbl_Ledger[Tax Category],ROWS($B$27:$B133))</f>
        <v>NO_VAT</v>
      </c>
      <c r="F133" s="157" t="str" cm="1">
        <f t="array" ref="F133">INDEX(tbl_Ledger[Direction],ROWS($B$27:$B133))</f>
        <v>Outflow</v>
      </c>
      <c r="G133" s="159" cm="1">
        <f t="array" ref="G133">INDEX(tbl_Ledger[Tax Charged on Invoice],ROWS($B$27:$B133))</f>
        <v>0</v>
      </c>
      <c r="H133" s="159" cm="1">
        <f t="array" ref="H133">INDEX(tbl_Ledger[Expected Total Tax],ROWS($B$27:$B133))</f>
        <v>0</v>
      </c>
      <c r="I133" s="159" t="str" cm="1">
        <f t="array" ref="I133">INDEX(tbl_Ledger[Description],ROWS($B$27:$B133))</f>
        <v>Director current account repayment</v>
      </c>
      <c r="J133" s="159" t="str" cm="1">
        <f t="array" ref="J133">INDEX(tbl_Ledger[Counterparty],ROWS($B$27:$B133))</f>
        <v>Nkabom Haulage Ltd - Reserve Account</v>
      </c>
      <c r="K133" s="160" t="str">
        <f>IF(COUNTIF(Dup_Exclusions,$E133)&gt;0,"No","Yes")</f>
        <v>Yes</v>
      </c>
      <c r="L133" s="161" t="str">
        <f>IF(AND($D133="",COUNTIF(NoInv_Exempt,$E133)=0),"Yes","No")</f>
        <v>No</v>
      </c>
      <c r="M133" s="161" t="str" cm="1">
        <f t="array" ref="M133">IF(AND($D133&lt;&gt;"",$K133="Yes"),IF(SUMPRODUCT((tbl_Ledger[Invoice Number]=$D133)*(COUNTIF(Dup_Exclusions,tbl_Ledger[Tax Category])=0))&gt;1,"Yes","No"),"No")</f>
        <v>No</v>
      </c>
      <c r="N133" s="161" t="str">
        <f>IF(ABS($G133-$H133)&gt;Tax_Tolerance,"Yes","No")</f>
        <v>No</v>
      </c>
      <c r="O133" s="161" t="str">
        <f>IF(OR(AND($F133="Inflow",LEFT($E133,LEN(Prefix_Outflow))=Prefix_Outflow),AND($F133="Outflow",LEFT($E133,LEN(Prefix_Inflow))=Prefix_Inflow)),"Yes","No")</f>
        <v>No</v>
      </c>
      <c r="P133" s="161" t="str" cm="1">
        <f t="array" ref="P133">IF(AND(COUNTIF(Suspect_Categories,$E133)&gt;0,SUMPRODUCT(--ISNUMBER(SEARCH(Suspect_Keywords,$I133&amp;" "&amp;$J133)))&gt;0),"Yes","No")</f>
        <v>No</v>
      </c>
      <c r="Q133" s="161" t="str">
        <f t="shared" si="0"/>
        <v>No</v>
      </c>
    </row>
    <row r="134" spans="1:17" x14ac:dyDescent="0.3">
      <c r="A134" s="11"/>
      <c r="B134" s="157" cm="1">
        <f t="array" ref="B134">INDEX(tbl_Ledger[Row ID],ROWS($B$27:$B134))</f>
        <v>108</v>
      </c>
      <c r="C134" s="158" cm="1">
        <f t="array" ref="C134">INDEX(tbl_Ledger[Date],ROWS($B$27:$B134))</f>
        <v>46106</v>
      </c>
      <c r="D134" s="157" t="str" cm="1">
        <f t="array" ref="D134">IF(INDEX(tbl_Ledger[Invoice Number],ROWS($B$27:$B134))="","",INDEX(tbl_Ledger[Invoice Number],ROWS($B$27:$B134)))</f>
        <v>NHL-2026-0047</v>
      </c>
      <c r="E134" s="157" t="str" cm="1">
        <f t="array" ref="E134">INDEX(tbl_Ledger[Tax Category],ROWS($B$27:$B134))</f>
        <v>OUT_STD</v>
      </c>
      <c r="F134" s="157" t="str" cm="1">
        <f t="array" ref="F134">INDEX(tbl_Ledger[Direction],ROWS($B$27:$B134))</f>
        <v>Inflow</v>
      </c>
      <c r="G134" s="159" cm="1">
        <f t="array" ref="G134">INDEX(tbl_Ledger[Tax Charged on Invoice],ROWS($B$27:$B134))</f>
        <v>11761.2</v>
      </c>
      <c r="H134" s="159" cm="1">
        <f t="array" ref="H134">INDEX(tbl_Ledger[Expected Total Tax],ROWS($B$27:$B134))</f>
        <v>11761.199999999999</v>
      </c>
      <c r="I134" s="159" t="str" cm="1">
        <f t="array" ref="I134">INDEX(tbl_Ledger[Description],ROWS($B$27:$B134))</f>
        <v>Bulk haulage of ATK, Kumasi-Sunyani, 4 trips</v>
      </c>
      <c r="J134" s="159" t="str" cm="1">
        <f t="array" ref="J134">INDEX(tbl_Ledger[Counterparty],ROWS($B$27:$B134))</f>
        <v>Akwaaba Petroleum Ltd</v>
      </c>
      <c r="K134" s="160" t="str">
        <f>IF(COUNTIF(Dup_Exclusions,$E134)&gt;0,"No","Yes")</f>
        <v>Yes</v>
      </c>
      <c r="L134" s="161" t="str">
        <f>IF(AND($D134="",COUNTIF(NoInv_Exempt,$E134)=0),"Yes","No")</f>
        <v>No</v>
      </c>
      <c r="M134" s="161" t="str" cm="1">
        <f t="array" ref="M134">IF(AND($D134&lt;&gt;"",$K134="Yes"),IF(SUMPRODUCT((tbl_Ledger[Invoice Number]=$D134)*(COUNTIF(Dup_Exclusions,tbl_Ledger[Tax Category])=0))&gt;1,"Yes","No"),"No")</f>
        <v>No</v>
      </c>
      <c r="N134" s="161" t="str">
        <f>IF(ABS($G134-$H134)&gt;Tax_Tolerance,"Yes","No")</f>
        <v>No</v>
      </c>
      <c r="O134" s="161" t="str">
        <f>IF(OR(AND($F134="Inflow",LEFT($E134,LEN(Prefix_Outflow))=Prefix_Outflow),AND($F134="Outflow",LEFT($E134,LEN(Prefix_Inflow))=Prefix_Inflow)),"Yes","No")</f>
        <v>No</v>
      </c>
      <c r="P134" s="161" t="str" cm="1">
        <f t="array" ref="P134">IF(AND(COUNTIF(Suspect_Categories,$E134)&gt;0,SUMPRODUCT(--ISNUMBER(SEARCH(Suspect_Keywords,$I134&amp;" "&amp;$J134)))&gt;0),"Yes","No")</f>
        <v>No</v>
      </c>
      <c r="Q134" s="161" t="str">
        <f t="shared" si="0"/>
        <v>No</v>
      </c>
    </row>
    <row r="135" spans="1:17" x14ac:dyDescent="0.3">
      <c r="A135" s="11"/>
      <c r="B135" s="157" cm="1">
        <f t="array" ref="B135">INDEX(tbl_Ledger[Row ID],ROWS($B$27:$B135))</f>
        <v>109</v>
      </c>
      <c r="C135" s="158" cm="1">
        <f t="array" ref="C135">INDEX(tbl_Ledger[Date],ROWS($B$27:$B135))</f>
        <v>46106</v>
      </c>
      <c r="D135" s="157" t="str" cm="1">
        <f t="array" ref="D135">IF(INDEX(tbl_Ledger[Invoice Number],ROWS($B$27:$B135))="","",INDEX(tbl_Ledger[Invoice Number],ROWS($B$27:$B135)))</f>
        <v>NHL-2026-0048</v>
      </c>
      <c r="E135" s="157" t="str" cm="1">
        <f t="array" ref="E135">INDEX(tbl_Ledger[Tax Category],ROWS($B$27:$B135))</f>
        <v>WHT_SVC</v>
      </c>
      <c r="F135" s="157" t="str" cm="1">
        <f t="array" ref="F135">INDEX(tbl_Ledger[Direction],ROWS($B$27:$B135))</f>
        <v>Inflow</v>
      </c>
      <c r="G135" s="159" cm="1">
        <f t="array" ref="G135">INDEX(tbl_Ledger[Tax Charged on Invoice],ROWS($B$27:$B135))</f>
        <v>14659</v>
      </c>
      <c r="H135" s="159" cm="1">
        <f t="array" ref="H135">INDEX(tbl_Ledger[Expected Total Tax],ROWS($B$27:$B135))</f>
        <v>14659</v>
      </c>
      <c r="I135" s="159" t="str" cm="1">
        <f t="array" ref="I135">INDEX(tbl_Ledger[Description],ROWS($B$27:$B135))</f>
        <v>Contract haulage of AGO, Tema-Cape Coast; customer withheld income tax at 7.5% on the service fee</v>
      </c>
      <c r="J135" s="159" t="str" cm="1">
        <f t="array" ref="J135">INDEX(tbl_Ledger[Counterparty],ROWS($B$27:$B135))</f>
        <v>Northern Star BDC Ltd</v>
      </c>
      <c r="K135" s="160" t="str">
        <f>IF(COUNTIF(Dup_Exclusions,$E135)&gt;0,"No","Yes")</f>
        <v>Yes</v>
      </c>
      <c r="L135" s="161" t="str">
        <f>IF(AND($D135="",COUNTIF(NoInv_Exempt,$E135)=0),"Yes","No")</f>
        <v>No</v>
      </c>
      <c r="M135" s="161" t="str" cm="1">
        <f t="array" ref="M135">IF(AND($D135&lt;&gt;"",$K135="Yes"),IF(SUMPRODUCT((tbl_Ledger[Invoice Number]=$D135)*(COUNTIF(Dup_Exclusions,tbl_Ledger[Tax Category])=0))&gt;1,"Yes","No"),"No")</f>
        <v>No</v>
      </c>
      <c r="N135" s="161" t="str">
        <f>IF(ABS($G135-$H135)&gt;Tax_Tolerance,"Yes","No")</f>
        <v>No</v>
      </c>
      <c r="O135" s="161" t="str">
        <f>IF(OR(AND($F135="Inflow",LEFT($E135,LEN(Prefix_Outflow))=Prefix_Outflow),AND($F135="Outflow",LEFT($E135,LEN(Prefix_Inflow))=Prefix_Inflow)),"Yes","No")</f>
        <v>No</v>
      </c>
      <c r="P135" s="161" t="str" cm="1">
        <f t="array" ref="P135">IF(AND(COUNTIF(Suspect_Categories,$E135)&gt;0,SUMPRODUCT(--ISNUMBER(SEARCH(Suspect_Keywords,$I135&amp;" "&amp;$J135)))&gt;0),"Yes","No")</f>
        <v>No</v>
      </c>
      <c r="Q135" s="161" t="str">
        <f t="shared" si="0"/>
        <v>No</v>
      </c>
    </row>
    <row r="136" spans="1:17" x14ac:dyDescent="0.3">
      <c r="A136" s="11"/>
      <c r="B136" s="157" cm="1">
        <f t="array" ref="B136">INDEX(tbl_Ledger[Row ID],ROWS($B$27:$B136))</f>
        <v>110</v>
      </c>
      <c r="C136" s="158" cm="1">
        <f t="array" ref="C136">INDEX(tbl_Ledger[Date],ROWS($B$27:$B136))</f>
        <v>46109</v>
      </c>
      <c r="D136" s="157" t="str" cm="1">
        <f t="array" ref="D136">IF(INDEX(tbl_Ledger[Invoice Number],ROWS($B$27:$B136))="","",INDEX(tbl_Ledger[Invoice Number],ROWS($B$27:$B136)))</f>
        <v>BNK-2026-0011</v>
      </c>
      <c r="E136" s="157" t="str" cm="1">
        <f t="array" ref="E136">INDEX(tbl_Ledger[Tax Category],ROWS($B$27:$B136))</f>
        <v>IN_EXEMPT</v>
      </c>
      <c r="F136" s="157" t="str" cm="1">
        <f t="array" ref="F136">INDEX(tbl_Ledger[Direction],ROWS($B$27:$B136))</f>
        <v>Outflow</v>
      </c>
      <c r="G136" s="159" cm="1">
        <f t="array" ref="G136">INDEX(tbl_Ledger[Tax Charged on Invoice],ROWS($B$27:$B136))</f>
        <v>0</v>
      </c>
      <c r="H136" s="159" cm="1">
        <f t="array" ref="H136">INDEX(tbl_Ledger[Expected Total Tax],ROWS($B$27:$B136))</f>
        <v>0</v>
      </c>
      <c r="I136" s="159" t="str" cm="1">
        <f t="array" ref="I136">INDEX(tbl_Ledger[Description],ROWS($B$27:$B136))</f>
        <v>Bank charges and account maintenance</v>
      </c>
      <c r="J136" s="159" t="str" cm="1">
        <f t="array" ref="J136">INDEX(tbl_Ledger[Counterparty],ROWS($B$27:$B136))</f>
        <v>Trust Union Bank Ltd</v>
      </c>
      <c r="K136" s="160" t="str">
        <f>IF(COUNTIF(Dup_Exclusions,$E136)&gt;0,"No","Yes")</f>
        <v>Yes</v>
      </c>
      <c r="L136" s="161" t="str">
        <f>IF(AND($D136="",COUNTIF(NoInv_Exempt,$E136)=0),"Yes","No")</f>
        <v>No</v>
      </c>
      <c r="M136" s="161" t="str" cm="1">
        <f t="array" ref="M136">IF(AND($D136&lt;&gt;"",$K136="Yes"),IF(SUMPRODUCT((tbl_Ledger[Invoice Number]=$D136)*(COUNTIF(Dup_Exclusions,tbl_Ledger[Tax Category])=0))&gt;1,"Yes","No"),"No")</f>
        <v>No</v>
      </c>
      <c r="N136" s="161" t="str">
        <f>IF(ABS($G136-$H136)&gt;Tax_Tolerance,"Yes","No")</f>
        <v>No</v>
      </c>
      <c r="O136" s="161" t="str">
        <f>IF(OR(AND($F136="Inflow",LEFT($E136,LEN(Prefix_Outflow))=Prefix_Outflow),AND($F136="Outflow",LEFT($E136,LEN(Prefix_Inflow))=Prefix_Inflow)),"Yes","No")</f>
        <v>No</v>
      </c>
      <c r="P136" s="161" t="str" cm="1">
        <f t="array" ref="P136">IF(AND(COUNTIF(Suspect_Categories,$E136)&gt;0,SUMPRODUCT(--ISNUMBER(SEARCH(Suspect_Keywords,$I136&amp;" "&amp;$J136)))&gt;0),"Yes","No")</f>
        <v>No</v>
      </c>
      <c r="Q136" s="161" t="str">
        <f t="shared" si="0"/>
        <v>No</v>
      </c>
    </row>
    <row r="137" spans="1:17" x14ac:dyDescent="0.3">
      <c r="A137" s="11"/>
      <c r="B137" s="157" cm="1">
        <f t="array" ref="B137">INDEX(tbl_Ledger[Row ID],ROWS($B$27:$B137))</f>
        <v>111</v>
      </c>
      <c r="C137" s="158" cm="1">
        <f t="array" ref="C137">INDEX(tbl_Ledger[Date],ROWS($B$27:$B137))</f>
        <v>46109</v>
      </c>
      <c r="D137" s="157" t="str" cm="1">
        <f t="array" ref="D137">IF(INDEX(tbl_Ledger[Invoice Number],ROWS($B$27:$B137))="","",INDEX(tbl_Ledger[Invoice Number],ROWS($B$27:$B137)))</f>
        <v>NHL-2026-0049</v>
      </c>
      <c r="E137" s="157" t="str" cm="1">
        <f t="array" ref="E137">INDEX(tbl_Ledger[Tax Category],ROWS($B$27:$B137))</f>
        <v>VAT_WHT</v>
      </c>
      <c r="F137" s="157" t="str" cm="1">
        <f t="array" ref="F137">INDEX(tbl_Ledger[Direction],ROWS($B$27:$B137))</f>
        <v>Inflow</v>
      </c>
      <c r="G137" s="159" cm="1">
        <f t="array" ref="G137">INDEX(tbl_Ledger[Tax Charged on Invoice],ROWS($B$27:$B137))</f>
        <v>20213</v>
      </c>
      <c r="H137" s="159" cm="1">
        <f t="array" ref="H137">INDEX(tbl_Ledger[Expected Total Tax],ROWS($B$27:$B137))</f>
        <v>20213</v>
      </c>
      <c r="I137" s="159" t="str" cm="1">
        <f t="array" ref="I137">INDEX(tbl_Ledger[Description],ROWS($B$27:$B137))</f>
        <v>Term haulage contract, PMS, Tema-Cape Coast; customer is an appointed VAT withholding agent and retained 7%</v>
      </c>
      <c r="J137" s="159" t="str" cm="1">
        <f t="array" ref="J137">INDEX(tbl_Ledger[Counterparty],ROWS($B$27:$B137))</f>
        <v>Northern Star BDC Ltd</v>
      </c>
      <c r="K137" s="160" t="str">
        <f>IF(COUNTIF(Dup_Exclusions,$E137)&gt;0,"No","Yes")</f>
        <v>No</v>
      </c>
      <c r="L137" s="161" t="str">
        <f>IF(AND($D137="",COUNTIF(NoInv_Exempt,$E137)=0),"Yes","No")</f>
        <v>No</v>
      </c>
      <c r="M137" s="161" t="str" cm="1">
        <f t="array" ref="M137">IF(AND($D137&lt;&gt;"",$K137="Yes"),IF(SUMPRODUCT((tbl_Ledger[Invoice Number]=$D137)*(COUNTIF(Dup_Exclusions,tbl_Ledger[Tax Category])=0))&gt;1,"Yes","No"),"No")</f>
        <v>No</v>
      </c>
      <c r="N137" s="161" t="str">
        <f>IF(ABS($G137-$H137)&gt;Tax_Tolerance,"Yes","No")</f>
        <v>No</v>
      </c>
      <c r="O137" s="161" t="str">
        <f>IF(OR(AND($F137="Inflow",LEFT($E137,LEN(Prefix_Outflow))=Prefix_Outflow),AND($F137="Outflow",LEFT($E137,LEN(Prefix_Inflow))=Prefix_Inflow)),"Yes","No")</f>
        <v>No</v>
      </c>
      <c r="P137" s="161" t="str" cm="1">
        <f t="array" ref="P137">IF(AND(COUNTIF(Suspect_Categories,$E137)&gt;0,SUMPRODUCT(--ISNUMBER(SEARCH(Suspect_Keywords,$I137&amp;" "&amp;$J137)))&gt;0),"Yes","No")</f>
        <v>No</v>
      </c>
      <c r="Q137" s="161" t="str">
        <f t="shared" si="0"/>
        <v>No</v>
      </c>
    </row>
    <row r="138" spans="1:17" x14ac:dyDescent="0.3">
      <c r="A138" s="11"/>
      <c r="B138" s="157" cm="1">
        <f t="array" ref="B138">INDEX(tbl_Ledger[Row ID],ROWS($B$27:$B138))</f>
        <v>112</v>
      </c>
      <c r="C138" s="158" cm="1">
        <f t="array" ref="C138">INDEX(tbl_Ledger[Date],ROWS($B$27:$B138))</f>
        <v>46109</v>
      </c>
      <c r="D138" s="157" t="str" cm="1">
        <f t="array" ref="D138">IF(INDEX(tbl_Ledger[Invoice Number],ROWS($B$27:$B138))="","",INDEX(tbl_Ledger[Invoice Number],ROWS($B$27:$B138)))</f>
        <v>NHL-2026-0050</v>
      </c>
      <c r="E138" s="157" t="str" cm="1">
        <f t="array" ref="E138">INDEX(tbl_Ledger[Tax Category],ROWS($B$27:$B138))</f>
        <v>WHT_SVC</v>
      </c>
      <c r="F138" s="157" t="str" cm="1">
        <f t="array" ref="F138">INDEX(tbl_Ledger[Direction],ROWS($B$27:$B138))</f>
        <v>Inflow</v>
      </c>
      <c r="G138" s="159" cm="1">
        <f t="array" ref="G138">INDEX(tbl_Ledger[Tax Charged on Invoice],ROWS($B$27:$B138))</f>
        <v>12381.2</v>
      </c>
      <c r="H138" s="159" cm="1">
        <f t="array" ref="H138">INDEX(tbl_Ledger[Expected Total Tax],ROWS($B$27:$B138))</f>
        <v>12381.199999999999</v>
      </c>
      <c r="I138" s="159" t="str" cm="1">
        <f t="array" ref="I138">INDEX(tbl_Ledger[Description],ROWS($B$27:$B138))</f>
        <v>Contract haulage of ATK, Kumasi-Sunyani; customer withheld income tax at 7.5% on the service fee</v>
      </c>
      <c r="J138" s="159" t="str" cm="1">
        <f t="array" ref="J138">INDEX(tbl_Ledger[Counterparty],ROWS($B$27:$B138))</f>
        <v>Adinkra Oil Marketing Ltd</v>
      </c>
      <c r="K138" s="160" t="str">
        <f>IF(COUNTIF(Dup_Exclusions,$E138)&gt;0,"No","Yes")</f>
        <v>Yes</v>
      </c>
      <c r="L138" s="161" t="str">
        <f>IF(AND($D138="",COUNTIF(NoInv_Exempt,$E138)=0),"Yes","No")</f>
        <v>No</v>
      </c>
      <c r="M138" s="161" t="str" cm="1">
        <f t="array" ref="M138">IF(AND($D138&lt;&gt;"",$K138="Yes"),IF(SUMPRODUCT((tbl_Ledger[Invoice Number]=$D138)*(COUNTIF(Dup_Exclusions,tbl_Ledger[Tax Category])=0))&gt;1,"Yes","No"),"No")</f>
        <v>No</v>
      </c>
      <c r="N138" s="161" t="str">
        <f>IF(ABS($G138-$H138)&gt;Tax_Tolerance,"Yes","No")</f>
        <v>No</v>
      </c>
      <c r="O138" s="161" t="str">
        <f>IF(OR(AND($F138="Inflow",LEFT($E138,LEN(Prefix_Outflow))=Prefix_Outflow),AND($F138="Outflow",LEFT($E138,LEN(Prefix_Inflow))=Prefix_Inflow)),"Yes","No")</f>
        <v>No</v>
      </c>
      <c r="P138" s="161" t="str" cm="1">
        <f t="array" ref="P138">IF(AND(COUNTIF(Suspect_Categories,$E138)&gt;0,SUMPRODUCT(--ISNUMBER(SEARCH(Suspect_Keywords,$I138&amp;" "&amp;$J138)))&gt;0),"Yes","No")</f>
        <v>No</v>
      </c>
      <c r="Q138" s="161" t="str">
        <f t="shared" si="0"/>
        <v>No</v>
      </c>
    </row>
    <row r="139" spans="1:17" x14ac:dyDescent="0.3">
      <c r="A139" s="11"/>
      <c r="B139" s="157" cm="1">
        <f t="array" ref="B139">INDEX(tbl_Ledger[Row ID],ROWS($B$27:$B139))</f>
        <v>113</v>
      </c>
      <c r="C139" s="158" cm="1">
        <f t="array" ref="C139">INDEX(tbl_Ledger[Date],ROWS($B$27:$B139))</f>
        <v>46110</v>
      </c>
      <c r="D139" s="157" t="str" cm="1">
        <f t="array" ref="D139">IF(INDEX(tbl_Ledger[Invoice Number],ROWS($B$27:$B139))="","",INDEX(tbl_Ledger[Invoice Number],ROWS($B$27:$B139)))</f>
        <v>SIN-2026-0039</v>
      </c>
      <c r="E139" s="157" t="str" cm="1">
        <f t="array" ref="E139">INDEX(tbl_Ledger[Tax Category],ROWS($B$27:$B139))</f>
        <v>IN_STD</v>
      </c>
      <c r="F139" s="157" t="str" cm="1">
        <f t="array" ref="F139">INDEX(tbl_Ledger[Direction],ROWS($B$27:$B139))</f>
        <v>Outflow</v>
      </c>
      <c r="G139" s="159" cm="1">
        <f t="array" ref="G139">INDEX(tbl_Ledger[Tax Charged on Invoice],ROWS($B$27:$B139))</f>
        <v>585.20000000000005</v>
      </c>
      <c r="H139" s="159" cm="1">
        <f t="array" ref="H139">INDEX(tbl_Ledger[Expected Total Tax],ROWS($B$27:$B139))</f>
        <v>585.19999999999993</v>
      </c>
      <c r="I139" s="159" t="str" cm="1">
        <f t="array" ref="I139">INDEX(tbl_Ledger[Description],ROWS($B$27:$B139))</f>
        <v>Office stationery and printing</v>
      </c>
      <c r="J139" s="159" t="str" cm="1">
        <f t="array" ref="J139">INDEX(tbl_Ledger[Counterparty],ROWS($B$27:$B139))</f>
        <v>Adom Telecom Ghana Ltd</v>
      </c>
      <c r="K139" s="160" t="str">
        <f>IF(COUNTIF(Dup_Exclusions,$E139)&gt;0,"No","Yes")</f>
        <v>Yes</v>
      </c>
      <c r="L139" s="161" t="str">
        <f>IF(AND($D139="",COUNTIF(NoInv_Exempt,$E139)=0),"Yes","No")</f>
        <v>No</v>
      </c>
      <c r="M139" s="161" t="str" cm="1">
        <f t="array" ref="M139">IF(AND($D139&lt;&gt;"",$K139="Yes"),IF(SUMPRODUCT((tbl_Ledger[Invoice Number]=$D139)*(COUNTIF(Dup_Exclusions,tbl_Ledger[Tax Category])=0))&gt;1,"Yes","No"),"No")</f>
        <v>No</v>
      </c>
      <c r="N139" s="161" t="str">
        <f>IF(ABS($G139-$H139)&gt;Tax_Tolerance,"Yes","No")</f>
        <v>No</v>
      </c>
      <c r="O139" s="161" t="str">
        <f>IF(OR(AND($F139="Inflow",LEFT($E139,LEN(Prefix_Outflow))=Prefix_Outflow),AND($F139="Outflow",LEFT($E139,LEN(Prefix_Inflow))=Prefix_Inflow)),"Yes","No")</f>
        <v>No</v>
      </c>
      <c r="P139" s="161" t="str" cm="1">
        <f t="array" ref="P139">IF(AND(COUNTIF(Suspect_Categories,$E139)&gt;0,SUMPRODUCT(--ISNUMBER(SEARCH(Suspect_Keywords,$I139&amp;" "&amp;$J139)))&gt;0),"Yes","No")</f>
        <v>No</v>
      </c>
      <c r="Q139" s="161" t="str">
        <f t="shared" si="0"/>
        <v>No</v>
      </c>
    </row>
    <row r="140" spans="1:17" x14ac:dyDescent="0.3">
      <c r="A140" s="11"/>
      <c r="B140" s="157" cm="1">
        <f t="array" ref="B140">INDEX(tbl_Ledger[Row ID],ROWS($B$27:$B140))</f>
        <v>114</v>
      </c>
      <c r="C140" s="158" cm="1">
        <f t="array" ref="C140">INDEX(tbl_Ledger[Date],ROWS($B$27:$B140))</f>
        <v>46110</v>
      </c>
      <c r="D140" s="157" t="str" cm="1">
        <f t="array" ref="D140">IF(INDEX(tbl_Ledger[Invoice Number],ROWS($B$27:$B140))="","",INDEX(tbl_Ledger[Invoice Number],ROWS($B$27:$B140)))</f>
        <v/>
      </c>
      <c r="E140" s="157" t="str" cm="1">
        <f t="array" ref="E140">INDEX(tbl_Ledger[Tax Category],ROWS($B$27:$B140))</f>
        <v>IN_STD</v>
      </c>
      <c r="F140" s="157" t="str" cm="1">
        <f t="array" ref="F140">INDEX(tbl_Ledger[Direction],ROWS($B$27:$B140))</f>
        <v>Outflow</v>
      </c>
      <c r="G140" s="159" cm="1">
        <f t="array" ref="G140">INDEX(tbl_Ledger[Tax Charged on Invoice],ROWS($B$27:$B140))</f>
        <v>1750.4</v>
      </c>
      <c r="H140" s="159" cm="1">
        <f t="array" ref="H140">INDEX(tbl_Ledger[Expected Total Tax],ROWS($B$27:$B140))</f>
        <v>1750.3999999999999</v>
      </c>
      <c r="I140" s="159" t="str" cm="1">
        <f t="array" ref="I140">INDEX(tbl_Ledger[Description],ROWS($B$27:$B140))</f>
        <v>Fleet tracking software subscription</v>
      </c>
      <c r="J140" s="159" t="str" cm="1">
        <f t="array" ref="J140">INDEX(tbl_Ledger[Counterparty],ROWS($B$27:$B140))</f>
        <v>Sahara Fleet Services Ltd</v>
      </c>
      <c r="K140" s="160" t="str">
        <f>IF(COUNTIF(Dup_Exclusions,$E140)&gt;0,"No","Yes")</f>
        <v>Yes</v>
      </c>
      <c r="L140" s="161" t="str">
        <f>IF(AND($D140="",COUNTIF(NoInv_Exempt,$E140)=0),"Yes","No")</f>
        <v>Yes</v>
      </c>
      <c r="M140" s="161" t="str" cm="1">
        <f t="array" ref="M140">IF(AND($D140&lt;&gt;"",$K140="Yes"),IF(SUMPRODUCT((tbl_Ledger[Invoice Number]=$D140)*(COUNTIF(Dup_Exclusions,tbl_Ledger[Tax Category])=0))&gt;1,"Yes","No"),"No")</f>
        <v>No</v>
      </c>
      <c r="N140" s="161" t="str">
        <f>IF(ABS($G140-$H140)&gt;Tax_Tolerance,"Yes","No")</f>
        <v>No</v>
      </c>
      <c r="O140" s="161" t="str">
        <f>IF(OR(AND($F140="Inflow",LEFT($E140,LEN(Prefix_Outflow))=Prefix_Outflow),AND($F140="Outflow",LEFT($E140,LEN(Prefix_Inflow))=Prefix_Inflow)),"Yes","No")</f>
        <v>No</v>
      </c>
      <c r="P140" s="161" t="str" cm="1">
        <f t="array" ref="P140">IF(AND(COUNTIF(Suspect_Categories,$E140)&gt;0,SUMPRODUCT(--ISNUMBER(SEARCH(Suspect_Keywords,$I140&amp;" "&amp;$J140)))&gt;0),"Yes","No")</f>
        <v>No</v>
      </c>
      <c r="Q140" s="161" t="str">
        <f t="shared" si="0"/>
        <v>Yes</v>
      </c>
    </row>
    <row r="141" spans="1:17" x14ac:dyDescent="0.3">
      <c r="A141" s="11"/>
      <c r="B141" s="157" cm="1">
        <f t="array" ref="B141">INDEX(tbl_Ledger[Row ID],ROWS($B$27:$B141))</f>
        <v>115</v>
      </c>
      <c r="C141" s="158" cm="1">
        <f t="array" ref="C141">INDEX(tbl_Ledger[Date],ROWS($B$27:$B141))</f>
        <v>46110</v>
      </c>
      <c r="D141" s="157" t="str" cm="1">
        <f t="array" ref="D141">IF(INDEX(tbl_Ledger[Invoice Number],ROWS($B$27:$B141))="","",INDEX(tbl_Ledger[Invoice Number],ROWS($B$27:$B141)))</f>
        <v>NHL-2026-0051</v>
      </c>
      <c r="E141" s="157" t="str" cm="1">
        <f t="array" ref="E141">INDEX(tbl_Ledger[Tax Category],ROWS($B$27:$B141))</f>
        <v>OUT_STD</v>
      </c>
      <c r="F141" s="157" t="str" cm="1">
        <f t="array" ref="F141">INDEX(tbl_Ledger[Direction],ROWS($B$27:$B141))</f>
        <v>Inflow</v>
      </c>
      <c r="G141" s="159" cm="1">
        <f t="array" ref="G141">INDEX(tbl_Ledger[Tax Charged on Invoice],ROWS($B$27:$B141))</f>
        <v>14426.8</v>
      </c>
      <c r="H141" s="159" cm="1">
        <f t="array" ref="H141">INDEX(tbl_Ledger[Expected Total Tax],ROWS($B$27:$B141))</f>
        <v>14426.800000000001</v>
      </c>
      <c r="I141" s="159" t="str" cm="1">
        <f t="array" ref="I141">INDEX(tbl_Ledger[Description],ROWS($B$27:$B141))</f>
        <v>Bulk haulage of AGO, Kumasi-Sunyani, 9 trips</v>
      </c>
      <c r="J141" s="159" t="str" cm="1">
        <f t="array" ref="J141">INDEX(tbl_Ledger[Counterparty],ROWS($B$27:$B141))</f>
        <v>Golden Harmattan Energy Ltd</v>
      </c>
      <c r="K141" s="160" t="str">
        <f>IF(COUNTIF(Dup_Exclusions,$E141)&gt;0,"No","Yes")</f>
        <v>Yes</v>
      </c>
      <c r="L141" s="161" t="str">
        <f>IF(AND($D141="",COUNTIF(NoInv_Exempt,$E141)=0),"Yes","No")</f>
        <v>No</v>
      </c>
      <c r="M141" s="161" t="str" cm="1">
        <f t="array" ref="M141">IF(AND($D141&lt;&gt;"",$K141="Yes"),IF(SUMPRODUCT((tbl_Ledger[Invoice Number]=$D141)*(COUNTIF(Dup_Exclusions,tbl_Ledger[Tax Category])=0))&gt;1,"Yes","No"),"No")</f>
        <v>No</v>
      </c>
      <c r="N141" s="161" t="str">
        <f>IF(ABS($G141-$H141)&gt;Tax_Tolerance,"Yes","No")</f>
        <v>No</v>
      </c>
      <c r="O141" s="161" t="str">
        <f>IF(OR(AND($F141="Inflow",LEFT($E141,LEN(Prefix_Outflow))=Prefix_Outflow),AND($F141="Outflow",LEFT($E141,LEN(Prefix_Inflow))=Prefix_Inflow)),"Yes","No")</f>
        <v>No</v>
      </c>
      <c r="P141" s="161" t="str" cm="1">
        <f t="array" ref="P141">IF(AND(COUNTIF(Suspect_Categories,$E141)&gt;0,SUMPRODUCT(--ISNUMBER(SEARCH(Suspect_Keywords,$I141&amp;" "&amp;$J141)))&gt;0),"Yes","No")</f>
        <v>No</v>
      </c>
      <c r="Q141" s="161" t="str">
        <f t="shared" si="0"/>
        <v>No</v>
      </c>
    </row>
    <row r="142" spans="1:17" x14ac:dyDescent="0.3">
      <c r="A142" s="11"/>
      <c r="B142" s="157" cm="1">
        <f t="array" ref="B142">INDEX(tbl_Ledger[Row ID],ROWS($B$27:$B142))</f>
        <v>116</v>
      </c>
      <c r="C142" s="158" cm="1">
        <f t="array" ref="C142">INDEX(tbl_Ledger[Date],ROWS($B$27:$B142))</f>
        <v>46112</v>
      </c>
      <c r="D142" s="157" t="str" cm="1">
        <f t="array" ref="D142">IF(INDEX(tbl_Ledger[Invoice Number],ROWS($B$27:$B142))="","",INDEX(tbl_Ledger[Invoice Number],ROWS($B$27:$B142)))</f>
        <v>PAY-2026-0003</v>
      </c>
      <c r="E142" s="157" t="str" cm="1">
        <f t="array" ref="E142">INDEX(tbl_Ledger[Tax Category],ROWS($B$27:$B142))</f>
        <v>NO_VAT</v>
      </c>
      <c r="F142" s="157" t="str" cm="1">
        <f t="array" ref="F142">INDEX(tbl_Ledger[Direction],ROWS($B$27:$B142))</f>
        <v>Outflow</v>
      </c>
      <c r="G142" s="159" cm="1">
        <f t="array" ref="G142">INDEX(tbl_Ledger[Tax Charged on Invoice],ROWS($B$27:$B142))</f>
        <v>0</v>
      </c>
      <c r="H142" s="159" cm="1">
        <f t="array" ref="H142">INDEX(tbl_Ledger[Expected Total Tax],ROWS($B$27:$B142))</f>
        <v>0</v>
      </c>
      <c r="I142" s="159" t="str" cm="1">
        <f t="array" ref="I142">INDEX(tbl_Ledger[Description],ROWS($B$27:$B142))</f>
        <v>Staff salaries and wages - March</v>
      </c>
      <c r="J142" s="159" t="str" cm="1">
        <f t="array" ref="J142">INDEX(tbl_Ledger[Counterparty],ROWS($B$27:$B142))</f>
        <v>Nkabom Haulage Payroll</v>
      </c>
      <c r="K142" s="160" t="str">
        <f>IF(COUNTIF(Dup_Exclusions,$E142)&gt;0,"No","Yes")</f>
        <v>Yes</v>
      </c>
      <c r="L142" s="161" t="str">
        <f>IF(AND($D142="",COUNTIF(NoInv_Exempt,$E142)=0),"Yes","No")</f>
        <v>No</v>
      </c>
      <c r="M142" s="161" t="str" cm="1">
        <f t="array" ref="M142">IF(AND($D142&lt;&gt;"",$K142="Yes"),IF(SUMPRODUCT((tbl_Ledger[Invoice Number]=$D142)*(COUNTIF(Dup_Exclusions,tbl_Ledger[Tax Category])=0))&gt;1,"Yes","No"),"No")</f>
        <v>No</v>
      </c>
      <c r="N142" s="161" t="str">
        <f>IF(ABS($G142-$H142)&gt;Tax_Tolerance,"Yes","No")</f>
        <v>No</v>
      </c>
      <c r="O142" s="161" t="str">
        <f>IF(OR(AND($F142="Inflow",LEFT($E142,LEN(Prefix_Outflow))=Prefix_Outflow),AND($F142="Outflow",LEFT($E142,LEN(Prefix_Inflow))=Prefix_Inflow)),"Yes","No")</f>
        <v>No</v>
      </c>
      <c r="P142" s="161" t="str" cm="1">
        <f t="array" ref="P142">IF(AND(COUNTIF(Suspect_Categories,$E142)&gt;0,SUMPRODUCT(--ISNUMBER(SEARCH(Suspect_Keywords,$I142&amp;" "&amp;$J142)))&gt;0),"Yes","No")</f>
        <v>No</v>
      </c>
      <c r="Q142" s="161" t="str">
        <f t="shared" si="0"/>
        <v>No</v>
      </c>
    </row>
    <row r="143" spans="1:17" x14ac:dyDescent="0.3">
      <c r="A143" s="11"/>
      <c r="B143" s="157" cm="1">
        <f t="array" ref="B143">INDEX(tbl_Ledger[Row ID],ROWS($B$27:$B143))</f>
        <v>117</v>
      </c>
      <c r="C143" s="158" cm="1">
        <f t="array" ref="C143">INDEX(tbl_Ledger[Date],ROWS($B$27:$B143))</f>
        <v>46113</v>
      </c>
      <c r="D143" s="157" t="str" cm="1">
        <f t="array" ref="D143">IF(INDEX(tbl_Ledger[Invoice Number],ROWS($B$27:$B143))="","",INDEX(tbl_Ledger[Invoice Number],ROWS($B$27:$B143)))</f>
        <v>SIN-2026-0041</v>
      </c>
      <c r="E143" s="157" t="str" cm="1">
        <f t="array" ref="E143">INDEX(tbl_Ledger[Tax Category],ROWS($B$27:$B143))</f>
        <v>IN_NONDED</v>
      </c>
      <c r="F143" s="157" t="str" cm="1">
        <f t="array" ref="F143">INDEX(tbl_Ledger[Direction],ROWS($B$27:$B143))</f>
        <v>Outflow</v>
      </c>
      <c r="G143" s="159" cm="1">
        <f t="array" ref="G143">INDEX(tbl_Ledger[Tax Charged on Invoice],ROWS($B$27:$B143))</f>
        <v>275.2</v>
      </c>
      <c r="H143" s="159" cm="1">
        <f t="array" ref="H143">INDEX(tbl_Ledger[Expected Total Tax],ROWS($B$27:$B143))</f>
        <v>275.2</v>
      </c>
      <c r="I143" s="159" t="str" cm="1">
        <f t="array" ref="I143">INDEX(tbl_Ledger[Description],ROWS($B$27:$B143))</f>
        <v>Year-end staff function</v>
      </c>
      <c r="J143" s="159" t="str" cm="1">
        <f t="array" ref="J143">INDEX(tbl_Ledger[Counterparty],ROWS($B$27:$B143))</f>
        <v>Executive Motors Ltd</v>
      </c>
      <c r="K143" s="160" t="str">
        <f>IF(COUNTIF(Dup_Exclusions,$E143)&gt;0,"No","Yes")</f>
        <v>Yes</v>
      </c>
      <c r="L143" s="161" t="str">
        <f>IF(AND($D143="",COUNTIF(NoInv_Exempt,$E143)=0),"Yes","No")</f>
        <v>No</v>
      </c>
      <c r="M143" s="161" t="str" cm="1">
        <f t="array" ref="M143">IF(AND($D143&lt;&gt;"",$K143="Yes"),IF(SUMPRODUCT((tbl_Ledger[Invoice Number]=$D143)*(COUNTIF(Dup_Exclusions,tbl_Ledger[Tax Category])=0))&gt;1,"Yes","No"),"No")</f>
        <v>No</v>
      </c>
      <c r="N143" s="161" t="str">
        <f>IF(ABS($G143-$H143)&gt;Tax_Tolerance,"Yes","No")</f>
        <v>No</v>
      </c>
      <c r="O143" s="161" t="str">
        <f>IF(OR(AND($F143="Inflow",LEFT($E143,LEN(Prefix_Outflow))=Prefix_Outflow),AND($F143="Outflow",LEFT($E143,LEN(Prefix_Inflow))=Prefix_Inflow)),"Yes","No")</f>
        <v>No</v>
      </c>
      <c r="P143" s="161" t="str" cm="1">
        <f t="array" ref="P143">IF(AND(COUNTIF(Suspect_Categories,$E143)&gt;0,SUMPRODUCT(--ISNUMBER(SEARCH(Suspect_Keywords,$I143&amp;" "&amp;$J143)))&gt;0),"Yes","No")</f>
        <v>No</v>
      </c>
      <c r="Q143" s="161" t="str">
        <f t="shared" si="0"/>
        <v>No</v>
      </c>
    </row>
    <row r="144" spans="1:17" x14ac:dyDescent="0.3">
      <c r="A144" s="11"/>
      <c r="B144" s="157" cm="1">
        <f t="array" ref="B144">INDEX(tbl_Ledger[Row ID],ROWS($B$27:$B144))</f>
        <v>118</v>
      </c>
      <c r="C144" s="158" cm="1">
        <f t="array" ref="C144">INDEX(tbl_Ledger[Date],ROWS($B$27:$B144))</f>
        <v>46113</v>
      </c>
      <c r="D144" s="157" t="str" cm="1">
        <f t="array" ref="D144">IF(INDEX(tbl_Ledger[Invoice Number],ROWS($B$27:$B144))="","",INDEX(tbl_Ledger[Invoice Number],ROWS($B$27:$B144)))</f>
        <v>SIN-2026-0042</v>
      </c>
      <c r="E144" s="157" t="str" cm="1">
        <f t="array" ref="E144">INDEX(tbl_Ledger[Tax Category],ROWS($B$27:$B144))</f>
        <v>IN_STD</v>
      </c>
      <c r="F144" s="157" t="str" cm="1">
        <f t="array" ref="F144">INDEX(tbl_Ledger[Direction],ROWS($B$27:$B144))</f>
        <v>Outflow</v>
      </c>
      <c r="G144" s="159" cm="1">
        <f t="array" ref="G144">INDEX(tbl_Ledger[Tax Charged on Invoice],ROWS($B$27:$B144))</f>
        <v>1196</v>
      </c>
      <c r="H144" s="159" cm="1">
        <f t="array" ref="H144">INDEX(tbl_Ledger[Expected Total Tax],ROWS($B$27:$B144))</f>
        <v>1196</v>
      </c>
      <c r="I144" s="159" t="str" cm="1">
        <f t="array" ref="I144">INDEX(tbl_Ledger[Description],ROWS($B$27:$B144))</f>
        <v>Depot security services</v>
      </c>
      <c r="J144" s="159" t="str" cm="1">
        <f t="array" ref="J144">INDEX(tbl_Ledger[Counterparty],ROWS($B$27:$B144))</f>
        <v>Greenfield IT Solutions Ltd</v>
      </c>
      <c r="K144" s="160" t="str">
        <f>IF(COUNTIF(Dup_Exclusions,$E144)&gt;0,"No","Yes")</f>
        <v>Yes</v>
      </c>
      <c r="L144" s="161" t="str">
        <f>IF(AND($D144="",COUNTIF(NoInv_Exempt,$E144)=0),"Yes","No")</f>
        <v>No</v>
      </c>
      <c r="M144" s="161" t="str" cm="1">
        <f t="array" ref="M144">IF(AND($D144&lt;&gt;"",$K144="Yes"),IF(SUMPRODUCT((tbl_Ledger[Invoice Number]=$D144)*(COUNTIF(Dup_Exclusions,tbl_Ledger[Tax Category])=0))&gt;1,"Yes","No"),"No")</f>
        <v>No</v>
      </c>
      <c r="N144" s="161" t="str">
        <f>IF(ABS($G144-$H144)&gt;Tax_Tolerance,"Yes","No")</f>
        <v>No</v>
      </c>
      <c r="O144" s="161" t="str">
        <f>IF(OR(AND($F144="Inflow",LEFT($E144,LEN(Prefix_Outflow))=Prefix_Outflow),AND($F144="Outflow",LEFT($E144,LEN(Prefix_Inflow))=Prefix_Inflow)),"Yes","No")</f>
        <v>No</v>
      </c>
      <c r="P144" s="161" t="str" cm="1">
        <f t="array" ref="P144">IF(AND(COUNTIF(Suspect_Categories,$E144)&gt;0,SUMPRODUCT(--ISNUMBER(SEARCH(Suspect_Keywords,$I144&amp;" "&amp;$J144)))&gt;0),"Yes","No")</f>
        <v>No</v>
      </c>
      <c r="Q144" s="161" t="str">
        <f t="shared" si="0"/>
        <v>No</v>
      </c>
    </row>
    <row r="145" spans="1:17" x14ac:dyDescent="0.3">
      <c r="A145" s="11"/>
      <c r="B145" s="157" cm="1">
        <f t="array" ref="B145">INDEX(tbl_Ledger[Row ID],ROWS($B$27:$B145))</f>
        <v>119</v>
      </c>
      <c r="C145" s="158" cm="1">
        <f t="array" ref="C145">INDEX(tbl_Ledger[Date],ROWS($B$27:$B145))</f>
        <v>46117</v>
      </c>
      <c r="D145" s="157" t="str" cm="1">
        <f t="array" ref="D145">IF(INDEX(tbl_Ledger[Invoice Number],ROWS($B$27:$B145))="","",INDEX(tbl_Ledger[Invoice Number],ROWS($B$27:$B145)))</f>
        <v>BNK-2026-0012</v>
      </c>
      <c r="E145" s="157" t="str" cm="1">
        <f t="array" ref="E145">INDEX(tbl_Ledger[Tax Category],ROWS($B$27:$B145))</f>
        <v>IN_EXEMPT</v>
      </c>
      <c r="F145" s="157" t="str" cm="1">
        <f t="array" ref="F145">INDEX(tbl_Ledger[Direction],ROWS($B$27:$B145))</f>
        <v>Outflow</v>
      </c>
      <c r="G145" s="159" cm="1">
        <f t="array" ref="G145">INDEX(tbl_Ledger[Tax Charged on Invoice],ROWS($B$27:$B145))</f>
        <v>0</v>
      </c>
      <c r="H145" s="159" cm="1">
        <f t="array" ref="H145">INDEX(tbl_Ledger[Expected Total Tax],ROWS($B$27:$B145))</f>
        <v>0</v>
      </c>
      <c r="I145" s="159" t="str" cm="1">
        <f t="array" ref="I145">INDEX(tbl_Ledger[Description],ROWS($B$27:$B145))</f>
        <v>Cheque book and facility fees</v>
      </c>
      <c r="J145" s="159" t="str" cm="1">
        <f t="array" ref="J145">INDEX(tbl_Ledger[Counterparty],ROWS($B$27:$B145))</f>
        <v>Trust Union Bank Ltd</v>
      </c>
      <c r="K145" s="160" t="str">
        <f>IF(COUNTIF(Dup_Exclusions,$E145)&gt;0,"No","Yes")</f>
        <v>Yes</v>
      </c>
      <c r="L145" s="161" t="str">
        <f>IF(AND($D145="",COUNTIF(NoInv_Exempt,$E145)=0),"Yes","No")</f>
        <v>No</v>
      </c>
      <c r="M145" s="161" t="str" cm="1">
        <f t="array" ref="M145">IF(AND($D145&lt;&gt;"",$K145="Yes"),IF(SUMPRODUCT((tbl_Ledger[Invoice Number]=$D145)*(COUNTIF(Dup_Exclusions,tbl_Ledger[Tax Category])=0))&gt;1,"Yes","No"),"No")</f>
        <v>No</v>
      </c>
      <c r="N145" s="161" t="str">
        <f>IF(ABS($G145-$H145)&gt;Tax_Tolerance,"Yes","No")</f>
        <v>No</v>
      </c>
      <c r="O145" s="161" t="str">
        <f>IF(OR(AND($F145="Inflow",LEFT($E145,LEN(Prefix_Outflow))=Prefix_Outflow),AND($F145="Outflow",LEFT($E145,LEN(Prefix_Inflow))=Prefix_Inflow)),"Yes","No")</f>
        <v>No</v>
      </c>
      <c r="P145" s="161" t="str" cm="1">
        <f t="array" ref="P145">IF(AND(COUNTIF(Suspect_Categories,$E145)&gt;0,SUMPRODUCT(--ISNUMBER(SEARCH(Suspect_Keywords,$I145&amp;" "&amp;$J145)))&gt;0),"Yes","No")</f>
        <v>No</v>
      </c>
      <c r="Q145" s="161" t="str">
        <f t="shared" si="0"/>
        <v>No</v>
      </c>
    </row>
    <row r="146" spans="1:17" x14ac:dyDescent="0.3">
      <c r="A146" s="11"/>
      <c r="B146" s="157" cm="1">
        <f t="array" ref="B146">INDEX(tbl_Ledger[Row ID],ROWS($B$27:$B146))</f>
        <v>120</v>
      </c>
      <c r="C146" s="158" cm="1">
        <f t="array" ref="C146">INDEX(tbl_Ledger[Date],ROWS($B$27:$B146))</f>
        <v>46117</v>
      </c>
      <c r="D146" s="157" t="str" cm="1">
        <f t="array" ref="D146">IF(INDEX(tbl_Ledger[Invoice Number],ROWS($B$27:$B146))="","",INDEX(tbl_Ledger[Invoice Number],ROWS($B$27:$B146)))</f>
        <v>SIN-2026-0043</v>
      </c>
      <c r="E146" s="157" t="str" cm="1">
        <f t="array" ref="E146">INDEX(tbl_Ledger[Tax Category],ROWS($B$27:$B146))</f>
        <v>IN_NONDED</v>
      </c>
      <c r="F146" s="157" t="str" cm="1">
        <f t="array" ref="F146">INDEX(tbl_Ledger[Direction],ROWS($B$27:$B146))</f>
        <v>Outflow</v>
      </c>
      <c r="G146" s="159" cm="1">
        <f t="array" ref="G146">INDEX(tbl_Ledger[Tax Charged on Invoice],ROWS($B$27:$B146))</f>
        <v>1446</v>
      </c>
      <c r="H146" s="159" cm="1">
        <f t="array" ref="H146">INDEX(tbl_Ledger[Expected Total Tax],ROWS($B$27:$B146))</f>
        <v>1446</v>
      </c>
      <c r="I146" s="159" t="str" cm="1">
        <f t="array" ref="I146">INDEX(tbl_Ledger[Description],ROWS($B$27:$B146))</f>
        <v>Client entertainment - business development</v>
      </c>
      <c r="J146" s="159" t="str" cm="1">
        <f t="array" ref="J146">INDEX(tbl_Ledger[Counterparty],ROWS($B$27:$B146))</f>
        <v>Sunset Lounge Ltd</v>
      </c>
      <c r="K146" s="160" t="str">
        <f>IF(COUNTIF(Dup_Exclusions,$E146)&gt;0,"No","Yes")</f>
        <v>Yes</v>
      </c>
      <c r="L146" s="161" t="str">
        <f>IF(AND($D146="",COUNTIF(NoInv_Exempt,$E146)=0),"Yes","No")</f>
        <v>No</v>
      </c>
      <c r="M146" s="161" t="str" cm="1">
        <f t="array" ref="M146">IF(AND($D146&lt;&gt;"",$K146="Yes"),IF(SUMPRODUCT((tbl_Ledger[Invoice Number]=$D146)*(COUNTIF(Dup_Exclusions,tbl_Ledger[Tax Category])=0))&gt;1,"Yes","No"),"No")</f>
        <v>No</v>
      </c>
      <c r="N146" s="161" t="str">
        <f>IF(ABS($G146-$H146)&gt;Tax_Tolerance,"Yes","No")</f>
        <v>No</v>
      </c>
      <c r="O146" s="161" t="str">
        <f>IF(OR(AND($F146="Inflow",LEFT($E146,LEN(Prefix_Outflow))=Prefix_Outflow),AND($F146="Outflow",LEFT($E146,LEN(Prefix_Inflow))=Prefix_Inflow)),"Yes","No")</f>
        <v>No</v>
      </c>
      <c r="P146" s="161" t="str" cm="1">
        <f t="array" ref="P146">IF(AND(COUNTIF(Suspect_Categories,$E146)&gt;0,SUMPRODUCT(--ISNUMBER(SEARCH(Suspect_Keywords,$I146&amp;" "&amp;$J146)))&gt;0),"Yes","No")</f>
        <v>No</v>
      </c>
      <c r="Q146" s="161" t="str">
        <f t="shared" si="0"/>
        <v>No</v>
      </c>
    </row>
    <row r="147" spans="1:17" x14ac:dyDescent="0.3">
      <c r="A147" s="11"/>
      <c r="B147" s="157" cm="1">
        <f t="array" ref="B147">INDEX(tbl_Ledger[Row ID],ROWS($B$27:$B147))</f>
        <v>121</v>
      </c>
      <c r="C147" s="158" cm="1">
        <f t="array" ref="C147">INDEX(tbl_Ledger[Date],ROWS($B$27:$B147))</f>
        <v>46120</v>
      </c>
      <c r="D147" s="157" t="str" cm="1">
        <f t="array" ref="D147">IF(INDEX(tbl_Ledger[Invoice Number],ROWS($B$27:$B147))="","",INDEX(tbl_Ledger[Invoice Number],ROWS($B$27:$B147)))</f>
        <v>NHL-2026-0052</v>
      </c>
      <c r="E147" s="157" t="str" cm="1">
        <f t="array" ref="E147">INDEX(tbl_Ledger[Tax Category],ROWS($B$27:$B147))</f>
        <v>WHT_SVC</v>
      </c>
      <c r="F147" s="157" t="str" cm="1">
        <f t="array" ref="F147">INDEX(tbl_Ledger[Direction],ROWS($B$27:$B147))</f>
        <v>Inflow</v>
      </c>
      <c r="G147" s="159" cm="1">
        <f t="array" ref="G147">INDEX(tbl_Ledger[Tax Charged on Invoice],ROWS($B$27:$B147))</f>
        <v>8129.6</v>
      </c>
      <c r="H147" s="159" cm="1">
        <f t="array" ref="H147">INDEX(tbl_Ledger[Expected Total Tax],ROWS($B$27:$B147))</f>
        <v>8129.5999999999995</v>
      </c>
      <c r="I147" s="159" t="str" cm="1">
        <f t="array" ref="I147">INDEX(tbl_Ledger[Description],ROWS($B$27:$B147))</f>
        <v>Contract haulage of ATK, Tema-Kumasi; customer withheld income tax at 7.5% on the service fee</v>
      </c>
      <c r="J147" s="159" t="str" cm="1">
        <f t="array" ref="J147">INDEX(tbl_Ledger[Counterparty],ROWS($B$27:$B147))</f>
        <v>Northern Star BDC Ltd</v>
      </c>
      <c r="K147" s="160" t="str">
        <f>IF(COUNTIF(Dup_Exclusions,$E147)&gt;0,"No","Yes")</f>
        <v>Yes</v>
      </c>
      <c r="L147" s="161" t="str">
        <f>IF(AND($D147="",COUNTIF(NoInv_Exempt,$E147)=0),"Yes","No")</f>
        <v>No</v>
      </c>
      <c r="M147" s="161" t="str" cm="1">
        <f t="array" ref="M147">IF(AND($D147&lt;&gt;"",$K147="Yes"),IF(SUMPRODUCT((tbl_Ledger[Invoice Number]=$D147)*(COUNTIF(Dup_Exclusions,tbl_Ledger[Tax Category])=0))&gt;1,"Yes","No"),"No")</f>
        <v>No</v>
      </c>
      <c r="N147" s="161" t="str">
        <f>IF(ABS($G147-$H147)&gt;Tax_Tolerance,"Yes","No")</f>
        <v>No</v>
      </c>
      <c r="O147" s="161" t="str">
        <f>IF(OR(AND($F147="Inflow",LEFT($E147,LEN(Prefix_Outflow))=Prefix_Outflow),AND($F147="Outflow",LEFT($E147,LEN(Prefix_Inflow))=Prefix_Inflow)),"Yes","No")</f>
        <v>No</v>
      </c>
      <c r="P147" s="161" t="str" cm="1">
        <f t="array" ref="P147">IF(AND(COUNTIF(Suspect_Categories,$E147)&gt;0,SUMPRODUCT(--ISNUMBER(SEARCH(Suspect_Keywords,$I147&amp;" "&amp;$J147)))&gt;0),"Yes","No")</f>
        <v>No</v>
      </c>
      <c r="Q147" s="161" t="str">
        <f t="shared" si="0"/>
        <v>No</v>
      </c>
    </row>
    <row r="148" spans="1:17" x14ac:dyDescent="0.3">
      <c r="A148" s="11"/>
      <c r="B148" s="157" cm="1">
        <f t="array" ref="B148">INDEX(tbl_Ledger[Row ID],ROWS($B$27:$B148))</f>
        <v>122</v>
      </c>
      <c r="C148" s="158" cm="1">
        <f t="array" ref="C148">INDEX(tbl_Ledger[Date],ROWS($B$27:$B148))</f>
        <v>46123</v>
      </c>
      <c r="D148" s="157" t="str" cm="1">
        <f t="array" ref="D148">IF(INDEX(tbl_Ledger[Invoice Number],ROWS($B$27:$B148))="","",INDEX(tbl_Ledger[Invoice Number],ROWS($B$27:$B148)))</f>
        <v>GRA-2026-0007</v>
      </c>
      <c r="E148" s="157" t="str" cm="1">
        <f t="array" ref="E148">INDEX(tbl_Ledger[Tax Category],ROWS($B$27:$B148))</f>
        <v>NO_VAT</v>
      </c>
      <c r="F148" s="157" t="str" cm="1">
        <f t="array" ref="F148">INDEX(tbl_Ledger[Direction],ROWS($B$27:$B148))</f>
        <v>Outflow</v>
      </c>
      <c r="G148" s="159" cm="1">
        <f t="array" ref="G148">INDEX(tbl_Ledger[Tax Charged on Invoice],ROWS($B$27:$B148))</f>
        <v>0</v>
      </c>
      <c r="H148" s="159" cm="1">
        <f t="array" ref="H148">INDEX(tbl_Ledger[Expected Total Tax],ROWS($B$27:$B148))</f>
        <v>0</v>
      </c>
      <c r="I148" s="159" t="str" cm="1">
        <f t="array" ref="I148">INDEX(tbl_Ledger[Description],ROWS($B$27:$B148))</f>
        <v>PAYE and SSNIT contributions - April</v>
      </c>
      <c r="J148" s="159" t="str" cm="1">
        <f t="array" ref="J148">INDEX(tbl_Ledger[Counterparty],ROWS($B$27:$B148))</f>
        <v>Ghana Revenue Authority</v>
      </c>
      <c r="K148" s="160" t="str">
        <f>IF(COUNTIF(Dup_Exclusions,$E148)&gt;0,"No","Yes")</f>
        <v>Yes</v>
      </c>
      <c r="L148" s="161" t="str">
        <f>IF(AND($D148="",COUNTIF(NoInv_Exempt,$E148)=0),"Yes","No")</f>
        <v>No</v>
      </c>
      <c r="M148" s="161" t="str" cm="1">
        <f t="array" ref="M148">IF(AND($D148&lt;&gt;"",$K148="Yes"),IF(SUMPRODUCT((tbl_Ledger[Invoice Number]=$D148)*(COUNTIF(Dup_Exclusions,tbl_Ledger[Tax Category])=0))&gt;1,"Yes","No"),"No")</f>
        <v>No</v>
      </c>
      <c r="N148" s="161" t="str">
        <f>IF(ABS($G148-$H148)&gt;Tax_Tolerance,"Yes","No")</f>
        <v>No</v>
      </c>
      <c r="O148" s="161" t="str">
        <f>IF(OR(AND($F148="Inflow",LEFT($E148,LEN(Prefix_Outflow))=Prefix_Outflow),AND($F148="Outflow",LEFT($E148,LEN(Prefix_Inflow))=Prefix_Inflow)),"Yes","No")</f>
        <v>No</v>
      </c>
      <c r="P148" s="161" t="str" cm="1">
        <f t="array" ref="P148">IF(AND(COUNTIF(Suspect_Categories,$E148)&gt;0,SUMPRODUCT(--ISNUMBER(SEARCH(Suspect_Keywords,$I148&amp;" "&amp;$J148)))&gt;0),"Yes","No")</f>
        <v>No</v>
      </c>
      <c r="Q148" s="161" t="str">
        <f t="shared" si="0"/>
        <v>No</v>
      </c>
    </row>
    <row r="149" spans="1:17" x14ac:dyDescent="0.3">
      <c r="A149" s="11"/>
      <c r="B149" s="157" cm="1">
        <f t="array" ref="B149">INDEX(tbl_Ledger[Row ID],ROWS($B$27:$B149))</f>
        <v>123</v>
      </c>
      <c r="C149" s="158" cm="1">
        <f t="array" ref="C149">INDEX(tbl_Ledger[Date],ROWS($B$27:$B149))</f>
        <v>46124</v>
      </c>
      <c r="D149" s="157" t="str" cm="1">
        <f t="array" ref="D149">IF(INDEX(tbl_Ledger[Invoice Number],ROWS($B$27:$B149))="","",INDEX(tbl_Ledger[Invoice Number],ROWS($B$27:$B149)))</f>
        <v>BNK-2026-0013</v>
      </c>
      <c r="E149" s="157" t="str" cm="1">
        <f t="array" ref="E149">INDEX(tbl_Ledger[Tax Category],ROWS($B$27:$B149))</f>
        <v>IN_EXEMPT</v>
      </c>
      <c r="F149" s="157" t="str" cm="1">
        <f t="array" ref="F149">INDEX(tbl_Ledger[Direction],ROWS($B$27:$B149))</f>
        <v>Outflow</v>
      </c>
      <c r="G149" s="159" cm="1">
        <f t="array" ref="G149">INDEX(tbl_Ledger[Tax Charged on Invoice],ROWS($B$27:$B149))</f>
        <v>0</v>
      </c>
      <c r="H149" s="159" cm="1">
        <f t="array" ref="H149">INDEX(tbl_Ledger[Expected Total Tax],ROWS($B$27:$B149))</f>
        <v>0</v>
      </c>
      <c r="I149" s="159" t="str" cm="1">
        <f t="array" ref="I149">INDEX(tbl_Ledger[Description],ROWS($B$27:$B149))</f>
        <v>Bank charges and account maintenance</v>
      </c>
      <c r="J149" s="159" t="str" cm="1">
        <f t="array" ref="J149">INDEX(tbl_Ledger[Counterparty],ROWS($B$27:$B149))</f>
        <v>Trust Union Bank Ltd</v>
      </c>
      <c r="K149" s="160" t="str">
        <f>IF(COUNTIF(Dup_Exclusions,$E149)&gt;0,"No","Yes")</f>
        <v>Yes</v>
      </c>
      <c r="L149" s="161" t="str">
        <f>IF(AND($D149="",COUNTIF(NoInv_Exempt,$E149)=0),"Yes","No")</f>
        <v>No</v>
      </c>
      <c r="M149" s="161" t="str" cm="1">
        <f t="array" ref="M149">IF(AND($D149&lt;&gt;"",$K149="Yes"),IF(SUMPRODUCT((tbl_Ledger[Invoice Number]=$D149)*(COUNTIF(Dup_Exclusions,tbl_Ledger[Tax Category])=0))&gt;1,"Yes","No"),"No")</f>
        <v>No</v>
      </c>
      <c r="N149" s="161" t="str">
        <f>IF(ABS($G149-$H149)&gt;Tax_Tolerance,"Yes","No")</f>
        <v>No</v>
      </c>
      <c r="O149" s="161" t="str">
        <f>IF(OR(AND($F149="Inflow",LEFT($E149,LEN(Prefix_Outflow))=Prefix_Outflow),AND($F149="Outflow",LEFT($E149,LEN(Prefix_Inflow))=Prefix_Inflow)),"Yes","No")</f>
        <v>No</v>
      </c>
      <c r="P149" s="161" t="str" cm="1">
        <f t="array" ref="P149">IF(AND(COUNTIF(Suspect_Categories,$E149)&gt;0,SUMPRODUCT(--ISNUMBER(SEARCH(Suspect_Keywords,$I149&amp;" "&amp;$J149)))&gt;0),"Yes","No")</f>
        <v>No</v>
      </c>
      <c r="Q149" s="161" t="str">
        <f t="shared" si="0"/>
        <v>No</v>
      </c>
    </row>
    <row r="150" spans="1:17" x14ac:dyDescent="0.3">
      <c r="A150" s="11"/>
      <c r="B150" s="157" cm="1">
        <f t="array" ref="B150">INDEX(tbl_Ledger[Row ID],ROWS($B$27:$B150))</f>
        <v>124</v>
      </c>
      <c r="C150" s="158" cm="1">
        <f t="array" ref="C150">INDEX(tbl_Ledger[Date],ROWS($B$27:$B150))</f>
        <v>46124</v>
      </c>
      <c r="D150" s="157" t="str" cm="1">
        <f t="array" ref="D150">IF(INDEX(tbl_Ledger[Invoice Number],ROWS($B$27:$B150))="","",INDEX(tbl_Ledger[Invoice Number],ROWS($B$27:$B150)))</f>
        <v>SIN-2026-0044</v>
      </c>
      <c r="E150" s="157" t="str" cm="1">
        <f t="array" ref="E150">INDEX(tbl_Ledger[Tax Category],ROWS($B$27:$B150))</f>
        <v>IN_EXEMPT</v>
      </c>
      <c r="F150" s="157" t="str" cm="1">
        <f t="array" ref="F150">INDEX(tbl_Ledger[Direction],ROWS($B$27:$B150))</f>
        <v>Outflow</v>
      </c>
      <c r="G150" s="159" cm="1">
        <f t="array" ref="G150">INDEX(tbl_Ledger[Tax Charged on Invoice],ROWS($B$27:$B150))</f>
        <v>0</v>
      </c>
      <c r="H150" s="159" cm="1">
        <f t="array" ref="H150">INDEX(tbl_Ledger[Expected Total Tax],ROWS($B$27:$B150))</f>
        <v>0</v>
      </c>
      <c r="I150" s="159" t="str" cm="1">
        <f t="array" ref="I150">INDEX(tbl_Ledger[Description],ROWS($B$27:$B150))</f>
        <v>Diesel (AGO) purchased for own fleet use, 8,631 litres</v>
      </c>
      <c r="J150" s="159" t="str" cm="1">
        <f t="array" ref="J150">INDEX(tbl_Ledger[Counterparty],ROWS($B$27:$B150))</f>
        <v>Zenith Fuel Depot Ltd</v>
      </c>
      <c r="K150" s="160" t="str">
        <f>IF(COUNTIF(Dup_Exclusions,$E150)&gt;0,"No","Yes")</f>
        <v>Yes</v>
      </c>
      <c r="L150" s="161" t="str">
        <f>IF(AND($D150="",COUNTIF(NoInv_Exempt,$E150)=0),"Yes","No")</f>
        <v>No</v>
      </c>
      <c r="M150" s="161" t="str" cm="1">
        <f t="array" ref="M150">IF(AND($D150&lt;&gt;"",$K150="Yes"),IF(SUMPRODUCT((tbl_Ledger[Invoice Number]=$D150)*(COUNTIF(Dup_Exclusions,tbl_Ledger[Tax Category])=0))&gt;1,"Yes","No"),"No")</f>
        <v>No</v>
      </c>
      <c r="N150" s="161" t="str">
        <f>IF(ABS($G150-$H150)&gt;Tax_Tolerance,"Yes","No")</f>
        <v>No</v>
      </c>
      <c r="O150" s="161" t="str">
        <f>IF(OR(AND($F150="Inflow",LEFT($E150,LEN(Prefix_Outflow))=Prefix_Outflow),AND($F150="Outflow",LEFT($E150,LEN(Prefix_Inflow))=Prefix_Inflow)),"Yes","No")</f>
        <v>No</v>
      </c>
      <c r="P150" s="161" t="str" cm="1">
        <f t="array" ref="P150">IF(AND(COUNTIF(Suspect_Categories,$E150)&gt;0,SUMPRODUCT(--ISNUMBER(SEARCH(Suspect_Keywords,$I150&amp;" "&amp;$J150)))&gt;0),"Yes","No")</f>
        <v>No</v>
      </c>
      <c r="Q150" s="161" t="str">
        <f t="shared" si="0"/>
        <v>No</v>
      </c>
    </row>
    <row r="151" spans="1:17" x14ac:dyDescent="0.3">
      <c r="A151" s="11"/>
      <c r="B151" s="157" cm="1">
        <f t="array" ref="B151">INDEX(tbl_Ledger[Row ID],ROWS($B$27:$B151))</f>
        <v>125</v>
      </c>
      <c r="C151" s="158" cm="1">
        <f t="array" ref="C151">INDEX(tbl_Ledger[Date],ROWS($B$27:$B151))</f>
        <v>46125</v>
      </c>
      <c r="D151" s="157" t="str" cm="1">
        <f t="array" ref="D151">IF(INDEX(tbl_Ledger[Invoice Number],ROWS($B$27:$B151))="","",INDEX(tbl_Ledger[Invoice Number],ROWS($B$27:$B151)))</f>
        <v>SIN-2026-0045</v>
      </c>
      <c r="E151" s="157" t="str" cm="1">
        <f t="array" ref="E151">INDEX(tbl_Ledger[Tax Category],ROWS($B$27:$B151))</f>
        <v>IN_STD</v>
      </c>
      <c r="F151" s="157" t="str" cm="1">
        <f t="array" ref="F151">INDEX(tbl_Ledger[Direction],ROWS($B$27:$B151))</f>
        <v>Outflow</v>
      </c>
      <c r="G151" s="159" cm="1">
        <f t="array" ref="G151">INDEX(tbl_Ledger[Tax Charged on Invoice],ROWS($B$27:$B151))</f>
        <v>1777.8</v>
      </c>
      <c r="H151" s="159" cm="1">
        <f t="array" ref="H151">INDEX(tbl_Ledger[Expected Total Tax],ROWS($B$27:$B151))</f>
        <v>1777.7999999999997</v>
      </c>
      <c r="I151" s="159" t="str" cm="1">
        <f t="array" ref="I151">INDEX(tbl_Ledger[Description],ROWS($B$27:$B151))</f>
        <v>Replacement tyres for prime movers</v>
      </c>
      <c r="J151" s="159" t="str" cm="1">
        <f t="array" ref="J151">INDEX(tbl_Ledger[Counterparty],ROWS($B$27:$B151))</f>
        <v>Greenfield IT Solutions Ltd</v>
      </c>
      <c r="K151" s="160" t="str">
        <f>IF(COUNTIF(Dup_Exclusions,$E151)&gt;0,"No","Yes")</f>
        <v>Yes</v>
      </c>
      <c r="L151" s="161" t="str">
        <f>IF(AND($D151="",COUNTIF(NoInv_Exempt,$E151)=0),"Yes","No")</f>
        <v>No</v>
      </c>
      <c r="M151" s="161" t="str" cm="1">
        <f t="array" ref="M151">IF(AND($D151&lt;&gt;"",$K151="Yes"),IF(SUMPRODUCT((tbl_Ledger[Invoice Number]=$D151)*(COUNTIF(Dup_Exclusions,tbl_Ledger[Tax Category])=0))&gt;1,"Yes","No"),"No")</f>
        <v>No</v>
      </c>
      <c r="N151" s="161" t="str">
        <f>IF(ABS($G151-$H151)&gt;Tax_Tolerance,"Yes","No")</f>
        <v>No</v>
      </c>
      <c r="O151" s="161" t="str">
        <f>IF(OR(AND($F151="Inflow",LEFT($E151,LEN(Prefix_Outflow))=Prefix_Outflow),AND($F151="Outflow",LEFT($E151,LEN(Prefix_Inflow))=Prefix_Inflow)),"Yes","No")</f>
        <v>No</v>
      </c>
      <c r="P151" s="161" t="str" cm="1">
        <f t="array" ref="P151">IF(AND(COUNTIF(Suspect_Categories,$E151)&gt;0,SUMPRODUCT(--ISNUMBER(SEARCH(Suspect_Keywords,$I151&amp;" "&amp;$J151)))&gt;0),"Yes","No")</f>
        <v>No</v>
      </c>
      <c r="Q151" s="161" t="str">
        <f t="shared" si="0"/>
        <v>No</v>
      </c>
    </row>
    <row r="152" spans="1:17" x14ac:dyDescent="0.3">
      <c r="A152" s="11"/>
      <c r="B152" s="157" cm="1">
        <f t="array" ref="B152">INDEX(tbl_Ledger[Row ID],ROWS($B$27:$B152))</f>
        <v>126</v>
      </c>
      <c r="C152" s="158" cm="1">
        <f t="array" ref="C152">INDEX(tbl_Ledger[Date],ROWS($B$27:$B152))</f>
        <v>46125</v>
      </c>
      <c r="D152" s="157" t="str" cm="1">
        <f t="array" ref="D152">IF(INDEX(tbl_Ledger[Invoice Number],ROWS($B$27:$B152))="","",INDEX(tbl_Ledger[Invoice Number],ROWS($B$27:$B152)))</f>
        <v>JNL-2026-0003</v>
      </c>
      <c r="E152" s="157" t="str" cm="1">
        <f t="array" ref="E152">INDEX(tbl_Ledger[Tax Category],ROWS($B$27:$B152))</f>
        <v>NO_VAT</v>
      </c>
      <c r="F152" s="157" t="str" cm="1">
        <f t="array" ref="F152">INDEX(tbl_Ledger[Direction],ROWS($B$27:$B152))</f>
        <v>Outflow</v>
      </c>
      <c r="G152" s="159" cm="1">
        <f t="array" ref="G152">INDEX(tbl_Ledger[Tax Charged on Invoice],ROWS($B$27:$B152))</f>
        <v>0</v>
      </c>
      <c r="H152" s="159" cm="1">
        <f t="array" ref="H152">INDEX(tbl_Ledger[Expected Total Tax],ROWS($B$27:$B152))</f>
        <v>0</v>
      </c>
      <c r="I152" s="159" t="str" cm="1">
        <f t="array" ref="I152">INDEX(tbl_Ledger[Description],ROWS($B$27:$B152))</f>
        <v>Withholding tax remitted to GRA</v>
      </c>
      <c r="J152" s="159" t="str" cm="1">
        <f t="array" ref="J152">INDEX(tbl_Ledger[Counterparty],ROWS($B$27:$B152))</f>
        <v>Meridian Bank Ghana Ltd</v>
      </c>
      <c r="K152" s="160" t="str">
        <f>IF(COUNTIF(Dup_Exclusions,$E152)&gt;0,"No","Yes")</f>
        <v>Yes</v>
      </c>
      <c r="L152" s="161" t="str">
        <f>IF(AND($D152="",COUNTIF(NoInv_Exempt,$E152)=0),"Yes","No")</f>
        <v>No</v>
      </c>
      <c r="M152" s="161" t="str" cm="1">
        <f t="array" ref="M152">IF(AND($D152&lt;&gt;"",$K152="Yes"),IF(SUMPRODUCT((tbl_Ledger[Invoice Number]=$D152)*(COUNTIF(Dup_Exclusions,tbl_Ledger[Tax Category])=0))&gt;1,"Yes","No"),"No")</f>
        <v>No</v>
      </c>
      <c r="N152" s="161" t="str">
        <f>IF(ABS($G152-$H152)&gt;Tax_Tolerance,"Yes","No")</f>
        <v>No</v>
      </c>
      <c r="O152" s="161" t="str">
        <f>IF(OR(AND($F152="Inflow",LEFT($E152,LEN(Prefix_Outflow))=Prefix_Outflow),AND($F152="Outflow",LEFT($E152,LEN(Prefix_Inflow))=Prefix_Inflow)),"Yes","No")</f>
        <v>No</v>
      </c>
      <c r="P152" s="161" t="str" cm="1">
        <f t="array" ref="P152">IF(AND(COUNTIF(Suspect_Categories,$E152)&gt;0,SUMPRODUCT(--ISNUMBER(SEARCH(Suspect_Keywords,$I152&amp;" "&amp;$J152)))&gt;0),"Yes","No")</f>
        <v>No</v>
      </c>
      <c r="Q152" s="161" t="str">
        <f t="shared" si="0"/>
        <v>No</v>
      </c>
    </row>
    <row r="153" spans="1:17" x14ac:dyDescent="0.3">
      <c r="A153" s="11"/>
      <c r="B153" s="157" cm="1">
        <f t="array" ref="B153">INDEX(tbl_Ledger[Row ID],ROWS($B$27:$B153))</f>
        <v>127</v>
      </c>
      <c r="C153" s="158" cm="1">
        <f t="array" ref="C153">INDEX(tbl_Ledger[Date],ROWS($B$27:$B153))</f>
        <v>46125</v>
      </c>
      <c r="D153" s="157" t="str" cm="1">
        <f t="array" ref="D153">IF(INDEX(tbl_Ledger[Invoice Number],ROWS($B$27:$B153))="","",INDEX(tbl_Ledger[Invoice Number],ROWS($B$27:$B153)))</f>
        <v>NHL-2026-0053</v>
      </c>
      <c r="E153" s="157" t="str" cm="1">
        <f t="array" ref="E153">INDEX(tbl_Ledger[Tax Category],ROWS($B$27:$B153))</f>
        <v>OUT_STD</v>
      </c>
      <c r="F153" s="157" t="str" cm="1">
        <f t="array" ref="F153">INDEX(tbl_Ledger[Direction],ROWS($B$27:$B153))</f>
        <v>Inflow</v>
      </c>
      <c r="G153" s="159" cm="1">
        <f t="array" ref="G153">INDEX(tbl_Ledger[Tax Charged on Invoice],ROWS($B$27:$B153))</f>
        <v>12017.2</v>
      </c>
      <c r="H153" s="159" cm="1">
        <f t="array" ref="H153">INDEX(tbl_Ledger[Expected Total Tax],ROWS($B$27:$B153))</f>
        <v>12017.199999999999</v>
      </c>
      <c r="I153" s="159" t="str" cm="1">
        <f t="array" ref="I153">INDEX(tbl_Ledger[Description],ROWS($B$27:$B153))</f>
        <v>Bulk haulage of LPG, Tema-Cape Coast, 9 trips</v>
      </c>
      <c r="J153" s="159" t="str" cm="1">
        <f t="array" ref="J153">INDEX(tbl_Ledger[Counterparty],ROWS($B$27:$B153))</f>
        <v>Sankofa Petroleum Depot Ltd</v>
      </c>
      <c r="K153" s="160" t="str">
        <f>IF(COUNTIF(Dup_Exclusions,$E153)&gt;0,"No","Yes")</f>
        <v>Yes</v>
      </c>
      <c r="L153" s="161" t="str">
        <f>IF(AND($D153="",COUNTIF(NoInv_Exempt,$E153)=0),"Yes","No")</f>
        <v>No</v>
      </c>
      <c r="M153" s="161" t="str" cm="1">
        <f t="array" ref="M153">IF(AND($D153&lt;&gt;"",$K153="Yes"),IF(SUMPRODUCT((tbl_Ledger[Invoice Number]=$D153)*(COUNTIF(Dup_Exclusions,tbl_Ledger[Tax Category])=0))&gt;1,"Yes","No"),"No")</f>
        <v>No</v>
      </c>
      <c r="N153" s="161" t="str">
        <f>IF(ABS($G153-$H153)&gt;Tax_Tolerance,"Yes","No")</f>
        <v>No</v>
      </c>
      <c r="O153" s="161" t="str">
        <f>IF(OR(AND($F153="Inflow",LEFT($E153,LEN(Prefix_Outflow))=Prefix_Outflow),AND($F153="Outflow",LEFT($E153,LEN(Prefix_Inflow))=Prefix_Inflow)),"Yes","No")</f>
        <v>No</v>
      </c>
      <c r="P153" s="161" t="str" cm="1">
        <f t="array" ref="P153">IF(AND(COUNTIF(Suspect_Categories,$E153)&gt;0,SUMPRODUCT(--ISNUMBER(SEARCH(Suspect_Keywords,$I153&amp;" "&amp;$J153)))&gt;0),"Yes","No")</f>
        <v>No</v>
      </c>
      <c r="Q153" s="161" t="str">
        <f t="shared" si="0"/>
        <v>No</v>
      </c>
    </row>
    <row r="154" spans="1:17" x14ac:dyDescent="0.3">
      <c r="A154" s="11"/>
      <c r="B154" s="157" cm="1">
        <f t="array" ref="B154">INDEX(tbl_Ledger[Row ID],ROWS($B$27:$B154))</f>
        <v>128</v>
      </c>
      <c r="C154" s="158" cm="1">
        <f t="array" ref="C154">INDEX(tbl_Ledger[Date],ROWS($B$27:$B154))</f>
        <v>46126</v>
      </c>
      <c r="D154" s="157" t="str" cm="1">
        <f t="array" ref="D154">IF(INDEX(tbl_Ledger[Invoice Number],ROWS($B$27:$B154))="","",INDEX(tbl_Ledger[Invoice Number],ROWS($B$27:$B154)))</f>
        <v>SIN-2026-0046</v>
      </c>
      <c r="E154" s="157" t="str" cm="1">
        <f t="array" ref="E154">INDEX(tbl_Ledger[Tax Category],ROWS($B$27:$B154))</f>
        <v>IN_STD</v>
      </c>
      <c r="F154" s="157" t="str" cm="1">
        <f t="array" ref="F154">INDEX(tbl_Ledger[Direction],ROWS($B$27:$B154))</f>
        <v>Outflow</v>
      </c>
      <c r="G154" s="159" cm="1">
        <f t="array" ref="G154">INDEX(tbl_Ledger[Tax Charged on Invoice],ROWS($B$27:$B154))</f>
        <v>859.8</v>
      </c>
      <c r="H154" s="159" cm="1">
        <f t="array" ref="H154">INDEX(tbl_Ledger[Expected Total Tax],ROWS($B$27:$B154))</f>
        <v>859.80000000000007</v>
      </c>
      <c r="I154" s="159" t="str" cm="1">
        <f t="array" ref="I154">INDEX(tbl_Ledger[Description],ROWS($B$27:$B154))</f>
        <v>Workshop consumables and lubricants</v>
      </c>
      <c r="J154" s="159" t="str" cm="1">
        <f t="array" ref="J154">INDEX(tbl_Ledger[Counterparty],ROWS($B$27:$B154))</f>
        <v>Bono Workshop Services Ltd</v>
      </c>
      <c r="K154" s="160" t="str">
        <f>IF(COUNTIF(Dup_Exclusions,$E154)&gt;0,"No","Yes")</f>
        <v>Yes</v>
      </c>
      <c r="L154" s="161" t="str">
        <f>IF(AND($D154="",COUNTIF(NoInv_Exempt,$E154)=0),"Yes","No")</f>
        <v>No</v>
      </c>
      <c r="M154" s="161" t="str" cm="1">
        <f t="array" ref="M154">IF(AND($D154&lt;&gt;"",$K154="Yes"),IF(SUMPRODUCT((tbl_Ledger[Invoice Number]=$D154)*(COUNTIF(Dup_Exclusions,tbl_Ledger[Tax Category])=0))&gt;1,"Yes","No"),"No")</f>
        <v>No</v>
      </c>
      <c r="N154" s="161" t="str">
        <f>IF(ABS($G154-$H154)&gt;Tax_Tolerance,"Yes","No")</f>
        <v>No</v>
      </c>
      <c r="O154" s="161" t="str">
        <f>IF(OR(AND($F154="Inflow",LEFT($E154,LEN(Prefix_Outflow))=Prefix_Outflow),AND($F154="Outflow",LEFT($E154,LEN(Prefix_Inflow))=Prefix_Inflow)),"Yes","No")</f>
        <v>No</v>
      </c>
      <c r="P154" s="161" t="str" cm="1">
        <f t="array" ref="P154">IF(AND(COUNTIF(Suspect_Categories,$E154)&gt;0,SUMPRODUCT(--ISNUMBER(SEARCH(Suspect_Keywords,$I154&amp;" "&amp;$J154)))&gt;0),"Yes","No")</f>
        <v>No</v>
      </c>
      <c r="Q154" s="161" t="str">
        <f t="shared" si="0"/>
        <v>No</v>
      </c>
    </row>
    <row r="155" spans="1:17" x14ac:dyDescent="0.3">
      <c r="A155" s="11"/>
      <c r="B155" s="157" cm="1">
        <f t="array" ref="B155">INDEX(tbl_Ledger[Row ID],ROWS($B$27:$B155))</f>
        <v>129</v>
      </c>
      <c r="C155" s="158" cm="1">
        <f t="array" ref="C155">INDEX(tbl_Ledger[Date],ROWS($B$27:$B155))</f>
        <v>46127</v>
      </c>
      <c r="D155" s="157" t="str" cm="1">
        <f t="array" ref="D155">IF(INDEX(tbl_Ledger[Invoice Number],ROWS($B$27:$B155))="","",INDEX(tbl_Ledger[Invoice Number],ROWS($B$27:$B155)))</f>
        <v>LN-2026-0004</v>
      </c>
      <c r="E155" s="157" t="str" cm="1">
        <f t="array" ref="E155">INDEX(tbl_Ledger[Tax Category],ROWS($B$27:$B155))</f>
        <v>NO_VAT</v>
      </c>
      <c r="F155" s="157" t="str" cm="1">
        <f t="array" ref="F155">INDEX(tbl_Ledger[Direction],ROWS($B$27:$B155))</f>
        <v>Outflow</v>
      </c>
      <c r="G155" s="159" cm="1">
        <f t="array" ref="G155">INDEX(tbl_Ledger[Tax Charged on Invoice],ROWS($B$27:$B155))</f>
        <v>0</v>
      </c>
      <c r="H155" s="159" cm="1">
        <f t="array" ref="H155">INDEX(tbl_Ledger[Expected Total Tax],ROWS($B$27:$B155))</f>
        <v>0</v>
      </c>
      <c r="I155" s="159" t="str" cm="1">
        <f t="array" ref="I155">INDEX(tbl_Ledger[Description],ROWS($B$27:$B155))</f>
        <v>Term loan repayment - principal and interest, instalment 4</v>
      </c>
      <c r="J155" s="159" t="str" cm="1">
        <f t="array" ref="J155">INDEX(tbl_Ledger[Counterparty],ROWS($B$27:$B155))</f>
        <v>Meridian Bank Ghana Ltd</v>
      </c>
      <c r="K155" s="160" t="str">
        <f>IF(COUNTIF(Dup_Exclusions,$E155)&gt;0,"No","Yes")</f>
        <v>Yes</v>
      </c>
      <c r="L155" s="161" t="str">
        <f>IF(AND($D155="",COUNTIF(NoInv_Exempt,$E155)=0),"Yes","No")</f>
        <v>No</v>
      </c>
      <c r="M155" s="161" t="str" cm="1">
        <f t="array" ref="M155">IF(AND($D155&lt;&gt;"",$K155="Yes"),IF(SUMPRODUCT((tbl_Ledger[Invoice Number]=$D155)*(COUNTIF(Dup_Exclusions,tbl_Ledger[Tax Category])=0))&gt;1,"Yes","No"),"No")</f>
        <v>No</v>
      </c>
      <c r="N155" s="161" t="str">
        <f>IF(ABS($G155-$H155)&gt;Tax_Tolerance,"Yes","No")</f>
        <v>No</v>
      </c>
      <c r="O155" s="161" t="str">
        <f>IF(OR(AND($F155="Inflow",LEFT($E155,LEN(Prefix_Outflow))=Prefix_Outflow),AND($F155="Outflow",LEFT($E155,LEN(Prefix_Inflow))=Prefix_Inflow)),"Yes","No")</f>
        <v>No</v>
      </c>
      <c r="P155" s="161" t="str" cm="1">
        <f t="array" ref="P155">IF(AND(COUNTIF(Suspect_Categories,$E155)&gt;0,SUMPRODUCT(--ISNUMBER(SEARCH(Suspect_Keywords,$I155&amp;" "&amp;$J155)))&gt;0),"Yes","No")</f>
        <v>No</v>
      </c>
      <c r="Q155" s="161" t="str">
        <f t="shared" si="0"/>
        <v>No</v>
      </c>
    </row>
    <row r="156" spans="1:17" x14ac:dyDescent="0.3">
      <c r="A156" s="11"/>
      <c r="B156" s="157" cm="1">
        <f t="array" ref="B156">INDEX(tbl_Ledger[Row ID],ROWS($B$27:$B156))</f>
        <v>130</v>
      </c>
      <c r="C156" s="158" cm="1">
        <f t="array" ref="C156">INDEX(tbl_Ledger[Date],ROWS($B$27:$B156))</f>
        <v>46128</v>
      </c>
      <c r="D156" s="157" t="str" cm="1">
        <f t="array" ref="D156">IF(INDEX(tbl_Ledger[Invoice Number],ROWS($B$27:$B156))="","",INDEX(tbl_Ledger[Invoice Number],ROWS($B$27:$B156)))</f>
        <v>SIN-2026-0047</v>
      </c>
      <c r="E156" s="157" t="str" cm="1">
        <f t="array" ref="E156">INDEX(tbl_Ledger[Tax Category],ROWS($B$27:$B156))</f>
        <v>IN_STD</v>
      </c>
      <c r="F156" s="157" t="str" cm="1">
        <f t="array" ref="F156">INDEX(tbl_Ledger[Direction],ROWS($B$27:$B156))</f>
        <v>Outflow</v>
      </c>
      <c r="G156" s="159" cm="1">
        <f t="array" ref="G156">INDEX(tbl_Ledger[Tax Charged on Invoice],ROWS($B$27:$B156))</f>
        <v>630.20000000000005</v>
      </c>
      <c r="H156" s="159" cm="1">
        <f t="array" ref="H156">INDEX(tbl_Ledger[Expected Total Tax],ROWS($B$27:$B156))</f>
        <v>630.19999999999993</v>
      </c>
      <c r="I156" s="159" t="str" cm="1">
        <f t="array" ref="I156">INDEX(tbl_Ledger[Description],ROWS($B$27:$B156))</f>
        <v>Fleet tracking software subscription</v>
      </c>
      <c r="J156" s="159" t="str" cm="1">
        <f t="array" ref="J156">INDEX(tbl_Ledger[Counterparty],ROWS($B$27:$B156))</f>
        <v>Ashanti Truck Parts Ltd</v>
      </c>
      <c r="K156" s="160" t="str">
        <f>IF(COUNTIF(Dup_Exclusions,$E156)&gt;0,"No","Yes")</f>
        <v>Yes</v>
      </c>
      <c r="L156" s="161" t="str">
        <f>IF(AND($D156="",COUNTIF(NoInv_Exempt,$E156)=0),"Yes","No")</f>
        <v>No</v>
      </c>
      <c r="M156" s="161" t="str" cm="1">
        <f t="array" ref="M156">IF(AND($D156&lt;&gt;"",$K156="Yes"),IF(SUMPRODUCT((tbl_Ledger[Invoice Number]=$D156)*(COUNTIF(Dup_Exclusions,tbl_Ledger[Tax Category])=0))&gt;1,"Yes","No"),"No")</f>
        <v>No</v>
      </c>
      <c r="N156" s="161" t="str">
        <f>IF(ABS($G156-$H156)&gt;Tax_Tolerance,"Yes","No")</f>
        <v>No</v>
      </c>
      <c r="O156" s="161" t="str">
        <f>IF(OR(AND($F156="Inflow",LEFT($E156,LEN(Prefix_Outflow))=Prefix_Outflow),AND($F156="Outflow",LEFT($E156,LEN(Prefix_Inflow))=Prefix_Inflow)),"Yes","No")</f>
        <v>No</v>
      </c>
      <c r="P156" s="161" t="str" cm="1">
        <f t="array" ref="P156">IF(AND(COUNTIF(Suspect_Categories,$E156)&gt;0,SUMPRODUCT(--ISNUMBER(SEARCH(Suspect_Keywords,$I156&amp;" "&amp;$J156)))&gt;0),"Yes","No")</f>
        <v>No</v>
      </c>
      <c r="Q156" s="161" t="str">
        <f t="shared" si="0"/>
        <v>No</v>
      </c>
    </row>
    <row r="157" spans="1:17" x14ac:dyDescent="0.3">
      <c r="A157" s="11"/>
      <c r="B157" s="157" cm="1">
        <f t="array" ref="B157">INDEX(tbl_Ledger[Row ID],ROWS($B$27:$B157))</f>
        <v>131</v>
      </c>
      <c r="C157" s="158" cm="1">
        <f t="array" ref="C157">INDEX(tbl_Ledger[Date],ROWS($B$27:$B157))</f>
        <v>46128</v>
      </c>
      <c r="D157" s="157" t="str" cm="1">
        <f t="array" ref="D157">IF(INDEX(tbl_Ledger[Invoice Number],ROWS($B$27:$B157))="","",INDEX(tbl_Ledger[Invoice Number],ROWS($B$27:$B157)))</f>
        <v>SIN-2026-0048</v>
      </c>
      <c r="E157" s="157" t="str" cm="1">
        <f t="array" ref="E157">INDEX(tbl_Ledger[Tax Category],ROWS($B$27:$B157))</f>
        <v>IN_STD</v>
      </c>
      <c r="F157" s="157" t="str" cm="1">
        <f t="array" ref="F157">INDEX(tbl_Ledger[Direction],ROWS($B$27:$B157))</f>
        <v>Outflow</v>
      </c>
      <c r="G157" s="159" cm="1">
        <f t="array" ref="G157">INDEX(tbl_Ledger[Tax Charged on Invoice],ROWS($B$27:$B157))</f>
        <v>1234</v>
      </c>
      <c r="H157" s="159" cm="1">
        <f t="array" ref="H157">INDEX(tbl_Ledger[Expected Total Tax],ROWS($B$27:$B157))</f>
        <v>1234</v>
      </c>
      <c r="I157" s="159" t="str" cm="1">
        <f t="array" ref="I157">INDEX(tbl_Ledger[Description],ROWS($B$27:$B157))</f>
        <v>Depot security services</v>
      </c>
      <c r="J157" s="159" t="str" cm="1">
        <f t="array" ref="J157">INDEX(tbl_Ledger[Counterparty],ROWS($B$27:$B157))</f>
        <v>Greenfield IT Solutions Ltd</v>
      </c>
      <c r="K157" s="160" t="str">
        <f>IF(COUNTIF(Dup_Exclusions,$E157)&gt;0,"No","Yes")</f>
        <v>Yes</v>
      </c>
      <c r="L157" s="161" t="str">
        <f>IF(AND($D157="",COUNTIF(NoInv_Exempt,$E157)=0),"Yes","No")</f>
        <v>No</v>
      </c>
      <c r="M157" s="161" t="str" cm="1">
        <f t="array" ref="M157">IF(AND($D157&lt;&gt;"",$K157="Yes"),IF(SUMPRODUCT((tbl_Ledger[Invoice Number]=$D157)*(COUNTIF(Dup_Exclusions,tbl_Ledger[Tax Category])=0))&gt;1,"Yes","No"),"No")</f>
        <v>No</v>
      </c>
      <c r="N157" s="161" t="str">
        <f>IF(ABS($G157-$H157)&gt;Tax_Tolerance,"Yes","No")</f>
        <v>No</v>
      </c>
      <c r="O157" s="161" t="str">
        <f>IF(OR(AND($F157="Inflow",LEFT($E157,LEN(Prefix_Outflow))=Prefix_Outflow),AND($F157="Outflow",LEFT($E157,LEN(Prefix_Inflow))=Prefix_Inflow)),"Yes","No")</f>
        <v>No</v>
      </c>
      <c r="P157" s="161" t="str" cm="1">
        <f t="array" ref="P157">IF(AND(COUNTIF(Suspect_Categories,$E157)&gt;0,SUMPRODUCT(--ISNUMBER(SEARCH(Suspect_Keywords,$I157&amp;" "&amp;$J157)))&gt;0),"Yes","No")</f>
        <v>No</v>
      </c>
      <c r="Q157" s="161" t="str">
        <f t="shared" si="0"/>
        <v>No</v>
      </c>
    </row>
    <row r="158" spans="1:17" x14ac:dyDescent="0.3">
      <c r="A158" s="11"/>
      <c r="B158" s="157" cm="1">
        <f t="array" ref="B158">INDEX(tbl_Ledger[Row ID],ROWS($B$27:$B158))</f>
        <v>132</v>
      </c>
      <c r="C158" s="158" cm="1">
        <f t="array" ref="C158">INDEX(tbl_Ledger[Date],ROWS($B$27:$B158))</f>
        <v>46129</v>
      </c>
      <c r="D158" s="157" t="str" cm="1">
        <f t="array" ref="D158">IF(INDEX(tbl_Ledger[Invoice Number],ROWS($B$27:$B158))="","",INDEX(tbl_Ledger[Invoice Number],ROWS($B$27:$B158)))</f>
        <v>SIN-2026-0049</v>
      </c>
      <c r="E158" s="157" t="str" cm="1">
        <f t="array" ref="E158">INDEX(tbl_Ledger[Tax Category],ROWS($B$27:$B158))</f>
        <v>IN_STD</v>
      </c>
      <c r="F158" s="157" t="str" cm="1">
        <f t="array" ref="F158">INDEX(tbl_Ledger[Direction],ROWS($B$27:$B158))</f>
        <v>Outflow</v>
      </c>
      <c r="G158" s="159" cm="1">
        <f t="array" ref="G158">INDEX(tbl_Ledger[Tax Charged on Invoice],ROWS($B$27:$B158))</f>
        <v>884.6</v>
      </c>
      <c r="H158" s="159" cm="1">
        <f t="array" ref="H158">INDEX(tbl_Ledger[Expected Total Tax],ROWS($B$27:$B158))</f>
        <v>884.6</v>
      </c>
      <c r="I158" s="159" t="str" cm="1">
        <f t="array" ref="I158">INDEX(tbl_Ledger[Description],ROWS($B$27:$B158))</f>
        <v>Mobile and data services</v>
      </c>
      <c r="J158" s="159" t="str" cm="1">
        <f t="array" ref="J158">INDEX(tbl_Ledger[Counterparty],ROWS($B$27:$B158))</f>
        <v>Greenfield IT Solutions Ltd</v>
      </c>
      <c r="K158" s="160" t="str">
        <f>IF(COUNTIF(Dup_Exclusions,$E158)&gt;0,"No","Yes")</f>
        <v>Yes</v>
      </c>
      <c r="L158" s="161" t="str">
        <f>IF(AND($D158="",COUNTIF(NoInv_Exempt,$E158)=0),"Yes","No")</f>
        <v>No</v>
      </c>
      <c r="M158" s="161" t="str" cm="1">
        <f t="array" ref="M158">IF(AND($D158&lt;&gt;"",$K158="Yes"),IF(SUMPRODUCT((tbl_Ledger[Invoice Number]=$D158)*(COUNTIF(Dup_Exclusions,tbl_Ledger[Tax Category])=0))&gt;1,"Yes","No"),"No")</f>
        <v>No</v>
      </c>
      <c r="N158" s="161" t="str">
        <f>IF(ABS($G158-$H158)&gt;Tax_Tolerance,"Yes","No")</f>
        <v>No</v>
      </c>
      <c r="O158" s="161" t="str">
        <f>IF(OR(AND($F158="Inflow",LEFT($E158,LEN(Prefix_Outflow))=Prefix_Outflow),AND($F158="Outflow",LEFT($E158,LEN(Prefix_Inflow))=Prefix_Inflow)),"Yes","No")</f>
        <v>No</v>
      </c>
      <c r="P158" s="161" t="str" cm="1">
        <f t="array" ref="P158">IF(AND(COUNTIF(Suspect_Categories,$E158)&gt;0,SUMPRODUCT(--ISNUMBER(SEARCH(Suspect_Keywords,$I158&amp;" "&amp;$J158)))&gt;0),"Yes","No")</f>
        <v>No</v>
      </c>
      <c r="Q158" s="161" t="str">
        <f t="shared" si="0"/>
        <v>No</v>
      </c>
    </row>
    <row r="159" spans="1:17" x14ac:dyDescent="0.3">
      <c r="A159" s="11"/>
      <c r="B159" s="157" cm="1">
        <f t="array" ref="B159">INDEX(tbl_Ledger[Row ID],ROWS($B$27:$B159))</f>
        <v>133</v>
      </c>
      <c r="C159" s="158" cm="1">
        <f t="array" ref="C159">INDEX(tbl_Ledger[Date],ROWS($B$27:$B159))</f>
        <v>46130</v>
      </c>
      <c r="D159" s="157" t="str" cm="1">
        <f t="array" ref="D159">IF(INDEX(tbl_Ledger[Invoice Number],ROWS($B$27:$B159))="","",INDEX(tbl_Ledger[Invoice Number],ROWS($B$27:$B159)))</f>
        <v>NHL-2026-0054</v>
      </c>
      <c r="E159" s="157" t="str" cm="1">
        <f t="array" ref="E159">INDEX(tbl_Ledger[Tax Category],ROWS($B$27:$B159))</f>
        <v>OUT_STD</v>
      </c>
      <c r="F159" s="157" t="str" cm="1">
        <f t="array" ref="F159">INDEX(tbl_Ledger[Direction],ROWS($B$27:$B159))</f>
        <v>Inflow</v>
      </c>
      <c r="G159" s="159" cm="1">
        <f t="array" ref="G159">INDEX(tbl_Ledger[Tax Charged on Invoice],ROWS($B$27:$B159))</f>
        <v>11902</v>
      </c>
      <c r="H159" s="159" cm="1">
        <f t="array" ref="H159">INDEX(tbl_Ledger[Expected Total Tax],ROWS($B$27:$B159))</f>
        <v>11902</v>
      </c>
      <c r="I159" s="159" t="str" cm="1">
        <f t="array" ref="I159">INDEX(tbl_Ledger[Description],ROWS($B$27:$B159))</f>
        <v>Bulk haulage of ATK, Takoradi-Tamale, 6 trips</v>
      </c>
      <c r="J159" s="159" t="str" cm="1">
        <f t="array" ref="J159">INDEX(tbl_Ledger[Counterparty],ROWS($B$27:$B159))</f>
        <v>Keta Coastal Oils Ltd</v>
      </c>
      <c r="K159" s="160" t="str">
        <f>IF(COUNTIF(Dup_Exclusions,$E159)&gt;0,"No","Yes")</f>
        <v>Yes</v>
      </c>
      <c r="L159" s="161" t="str">
        <f>IF(AND($D159="",COUNTIF(NoInv_Exempt,$E159)=0),"Yes","No")</f>
        <v>No</v>
      </c>
      <c r="M159" s="161" t="str" cm="1">
        <f t="array" ref="M159">IF(AND($D159&lt;&gt;"",$K159="Yes"),IF(SUMPRODUCT((tbl_Ledger[Invoice Number]=$D159)*(COUNTIF(Dup_Exclusions,tbl_Ledger[Tax Category])=0))&gt;1,"Yes","No"),"No")</f>
        <v>No</v>
      </c>
      <c r="N159" s="161" t="str">
        <f>IF(ABS($G159-$H159)&gt;Tax_Tolerance,"Yes","No")</f>
        <v>No</v>
      </c>
      <c r="O159" s="161" t="str">
        <f>IF(OR(AND($F159="Inflow",LEFT($E159,LEN(Prefix_Outflow))=Prefix_Outflow),AND($F159="Outflow",LEFT($E159,LEN(Prefix_Inflow))=Prefix_Inflow)),"Yes","No")</f>
        <v>No</v>
      </c>
      <c r="P159" s="161" t="str" cm="1">
        <f t="array" ref="P159">IF(AND(COUNTIF(Suspect_Categories,$E159)&gt;0,SUMPRODUCT(--ISNUMBER(SEARCH(Suspect_Keywords,$I159&amp;" "&amp;$J159)))&gt;0),"Yes","No")</f>
        <v>No</v>
      </c>
      <c r="Q159" s="161" t="str">
        <f t="shared" si="0"/>
        <v>No</v>
      </c>
    </row>
    <row r="160" spans="1:17" x14ac:dyDescent="0.3">
      <c r="A160" s="11"/>
      <c r="B160" s="157" cm="1">
        <f t="array" ref="B160">INDEX(tbl_Ledger[Row ID],ROWS($B$27:$B160))</f>
        <v>134</v>
      </c>
      <c r="C160" s="158" cm="1">
        <f t="array" ref="C160">INDEX(tbl_Ledger[Date],ROWS($B$27:$B160))</f>
        <v>46131</v>
      </c>
      <c r="D160" s="157" t="str" cm="1">
        <f t="array" ref="D160">IF(INDEX(tbl_Ledger[Invoice Number],ROWS($B$27:$B160))="","",INDEX(tbl_Ledger[Invoice Number],ROWS($B$27:$B160)))</f>
        <v>SIN-2026-0050</v>
      </c>
      <c r="E160" s="157" t="str" cm="1">
        <f t="array" ref="E160">INDEX(tbl_Ledger[Tax Category],ROWS($B$27:$B160))</f>
        <v>IN_EXEMPT</v>
      </c>
      <c r="F160" s="157" t="str" cm="1">
        <f t="array" ref="F160">INDEX(tbl_Ledger[Direction],ROWS($B$27:$B160))</f>
        <v>Outflow</v>
      </c>
      <c r="G160" s="159" cm="1">
        <f t="array" ref="G160">INDEX(tbl_Ledger[Tax Charged on Invoice],ROWS($B$27:$B160))</f>
        <v>0</v>
      </c>
      <c r="H160" s="159" cm="1">
        <f t="array" ref="H160">INDEX(tbl_Ledger[Expected Total Tax],ROWS($B$27:$B160))</f>
        <v>0</v>
      </c>
      <c r="I160" s="159" t="str" cm="1">
        <f t="array" ref="I160">INDEX(tbl_Ledger[Description],ROWS($B$27:$B160))</f>
        <v>Third-party liability cover premium</v>
      </c>
      <c r="J160" s="159" t="str" cm="1">
        <f t="array" ref="J160">INDEX(tbl_Ledger[Counterparty],ROWS($B$27:$B160))</f>
        <v>Unity Assurance Ltd</v>
      </c>
      <c r="K160" s="160" t="str">
        <f>IF(COUNTIF(Dup_Exclusions,$E160)&gt;0,"No","Yes")</f>
        <v>Yes</v>
      </c>
      <c r="L160" s="161" t="str">
        <f>IF(AND($D160="",COUNTIF(NoInv_Exempt,$E160)=0),"Yes","No")</f>
        <v>No</v>
      </c>
      <c r="M160" s="161" t="str" cm="1">
        <f t="array" ref="M160">IF(AND($D160&lt;&gt;"",$K160="Yes"),IF(SUMPRODUCT((tbl_Ledger[Invoice Number]=$D160)*(COUNTIF(Dup_Exclusions,tbl_Ledger[Tax Category])=0))&gt;1,"Yes","No"),"No")</f>
        <v>No</v>
      </c>
      <c r="N160" s="161" t="str">
        <f>IF(ABS($G160-$H160)&gt;Tax_Tolerance,"Yes","No")</f>
        <v>No</v>
      </c>
      <c r="O160" s="161" t="str">
        <f>IF(OR(AND($F160="Inflow",LEFT($E160,LEN(Prefix_Outflow))=Prefix_Outflow),AND($F160="Outflow",LEFT($E160,LEN(Prefix_Inflow))=Prefix_Inflow)),"Yes","No")</f>
        <v>No</v>
      </c>
      <c r="P160" s="161" t="str" cm="1">
        <f t="array" ref="P160">IF(AND(COUNTIF(Suspect_Categories,$E160)&gt;0,SUMPRODUCT(--ISNUMBER(SEARCH(Suspect_Keywords,$I160&amp;" "&amp;$J160)))&gt;0),"Yes","No")</f>
        <v>No</v>
      </c>
      <c r="Q160" s="161" t="str">
        <f t="shared" si="0"/>
        <v>No</v>
      </c>
    </row>
    <row r="161" spans="1:17" x14ac:dyDescent="0.3">
      <c r="A161" s="11"/>
      <c r="B161" s="157" cm="1">
        <f t="array" ref="B161">INDEX(tbl_Ledger[Row ID],ROWS($B$27:$B161))</f>
        <v>135</v>
      </c>
      <c r="C161" s="158" cm="1">
        <f t="array" ref="C161">INDEX(tbl_Ledger[Date],ROWS($B$27:$B161))</f>
        <v>46131</v>
      </c>
      <c r="D161" s="157" t="str" cm="1">
        <f t="array" ref="D161">IF(INDEX(tbl_Ledger[Invoice Number],ROWS($B$27:$B161))="","",INDEX(tbl_Ledger[Invoice Number],ROWS($B$27:$B161)))</f>
        <v>SIN-2026-0051</v>
      </c>
      <c r="E161" s="157" t="str" cm="1">
        <f t="array" ref="E161">INDEX(tbl_Ledger[Tax Category],ROWS($B$27:$B161))</f>
        <v>IN_STD</v>
      </c>
      <c r="F161" s="157" t="str" cm="1">
        <f t="array" ref="F161">INDEX(tbl_Ledger[Direction],ROWS($B$27:$B161))</f>
        <v>Outflow</v>
      </c>
      <c r="G161" s="159" cm="1">
        <f t="array" ref="G161">INDEX(tbl_Ledger[Tax Charged on Invoice],ROWS($B$27:$B161))</f>
        <v>1389</v>
      </c>
      <c r="H161" s="159" cm="1">
        <f t="array" ref="H161">INDEX(tbl_Ledger[Expected Total Tax],ROWS($B$27:$B161))</f>
        <v>1389</v>
      </c>
      <c r="I161" s="159" t="str" cm="1">
        <f t="array" ref="I161">INDEX(tbl_Ledger[Description],ROWS($B$27:$B161))</f>
        <v>Workshop consumables and lubricants</v>
      </c>
      <c r="J161" s="159" t="str" cm="1">
        <f t="array" ref="J161">INDEX(tbl_Ledger[Counterparty],ROWS($B$27:$B161))</f>
        <v>Kumasi Tyre Centre Ltd</v>
      </c>
      <c r="K161" s="160" t="str">
        <f>IF(COUNTIF(Dup_Exclusions,$E161)&gt;0,"No","Yes")</f>
        <v>Yes</v>
      </c>
      <c r="L161" s="161" t="str">
        <f>IF(AND($D161="",COUNTIF(NoInv_Exempt,$E161)=0),"Yes","No")</f>
        <v>No</v>
      </c>
      <c r="M161" s="161" t="str" cm="1">
        <f t="array" ref="M161">IF(AND($D161&lt;&gt;"",$K161="Yes"),IF(SUMPRODUCT((tbl_Ledger[Invoice Number]=$D161)*(COUNTIF(Dup_Exclusions,tbl_Ledger[Tax Category])=0))&gt;1,"Yes","No"),"No")</f>
        <v>No</v>
      </c>
      <c r="N161" s="161" t="str">
        <f>IF(ABS($G161-$H161)&gt;Tax_Tolerance,"Yes","No")</f>
        <v>No</v>
      </c>
      <c r="O161" s="161" t="str">
        <f>IF(OR(AND($F161="Inflow",LEFT($E161,LEN(Prefix_Outflow))=Prefix_Outflow),AND($F161="Outflow",LEFT($E161,LEN(Prefix_Inflow))=Prefix_Inflow)),"Yes","No")</f>
        <v>No</v>
      </c>
      <c r="P161" s="161" t="str" cm="1">
        <f t="array" ref="P161">IF(AND(COUNTIF(Suspect_Categories,$E161)&gt;0,SUMPRODUCT(--ISNUMBER(SEARCH(Suspect_Keywords,$I161&amp;" "&amp;$J161)))&gt;0),"Yes","No")</f>
        <v>No</v>
      </c>
      <c r="Q161" s="161" t="str">
        <f t="shared" si="0"/>
        <v>No</v>
      </c>
    </row>
    <row r="162" spans="1:17" x14ac:dyDescent="0.3">
      <c r="A162" s="11"/>
      <c r="B162" s="157" cm="1">
        <f t="array" ref="B162">INDEX(tbl_Ledger[Row ID],ROWS($B$27:$B162))</f>
        <v>136</v>
      </c>
      <c r="C162" s="158" cm="1">
        <f t="array" ref="C162">INDEX(tbl_Ledger[Date],ROWS($B$27:$B162))</f>
        <v>46132</v>
      </c>
      <c r="D162" s="157" t="str" cm="1">
        <f t="array" ref="D162">IF(INDEX(tbl_Ledger[Invoice Number],ROWS($B$27:$B162))="","",INDEX(tbl_Ledger[Invoice Number],ROWS($B$27:$B162)))</f>
        <v>SIN-2026-0052</v>
      </c>
      <c r="E162" s="157" t="str" cm="1">
        <f t="array" ref="E162">INDEX(tbl_Ledger[Tax Category],ROWS($B$27:$B162))</f>
        <v>IN_NONDED</v>
      </c>
      <c r="F162" s="157" t="str" cm="1">
        <f t="array" ref="F162">INDEX(tbl_Ledger[Direction],ROWS($B$27:$B162))</f>
        <v>Outflow</v>
      </c>
      <c r="G162" s="159" cm="1">
        <f t="array" ref="G162">INDEX(tbl_Ledger[Tax Charged on Invoice],ROWS($B$27:$B162))</f>
        <v>731</v>
      </c>
      <c r="H162" s="159" cm="1">
        <f t="array" ref="H162">INDEX(tbl_Ledger[Expected Total Tax],ROWS($B$27:$B162))</f>
        <v>731</v>
      </c>
      <c r="I162" s="159" t="str" cm="1">
        <f t="array" ref="I162">INDEX(tbl_Ledger[Description],ROWS($B$27:$B162))</f>
        <v>Passenger vehicle running costs - management car</v>
      </c>
      <c r="J162" s="159" t="str" cm="1">
        <f t="array" ref="J162">INDEX(tbl_Ledger[Counterparty],ROWS($B$27:$B162))</f>
        <v>Executive Motors Ltd</v>
      </c>
      <c r="K162" s="160" t="str">
        <f>IF(COUNTIF(Dup_Exclusions,$E162)&gt;0,"No","Yes")</f>
        <v>Yes</v>
      </c>
      <c r="L162" s="161" t="str">
        <f>IF(AND($D162="",COUNTIF(NoInv_Exempt,$E162)=0),"Yes","No")</f>
        <v>No</v>
      </c>
      <c r="M162" s="161" t="str" cm="1">
        <f t="array" ref="M162">IF(AND($D162&lt;&gt;"",$K162="Yes"),IF(SUMPRODUCT((tbl_Ledger[Invoice Number]=$D162)*(COUNTIF(Dup_Exclusions,tbl_Ledger[Tax Category])=0))&gt;1,"Yes","No"),"No")</f>
        <v>No</v>
      </c>
      <c r="N162" s="161" t="str">
        <f>IF(ABS($G162-$H162)&gt;Tax_Tolerance,"Yes","No")</f>
        <v>No</v>
      </c>
      <c r="O162" s="161" t="str">
        <f>IF(OR(AND($F162="Inflow",LEFT($E162,LEN(Prefix_Outflow))=Prefix_Outflow),AND($F162="Outflow",LEFT($E162,LEN(Prefix_Inflow))=Prefix_Inflow)),"Yes","No")</f>
        <v>No</v>
      </c>
      <c r="P162" s="161" t="str" cm="1">
        <f t="array" ref="P162">IF(AND(COUNTIF(Suspect_Categories,$E162)&gt;0,SUMPRODUCT(--ISNUMBER(SEARCH(Suspect_Keywords,$I162&amp;" "&amp;$J162)))&gt;0),"Yes","No")</f>
        <v>No</v>
      </c>
      <c r="Q162" s="161" t="str">
        <f t="shared" si="0"/>
        <v>No</v>
      </c>
    </row>
    <row r="163" spans="1:17" x14ac:dyDescent="0.3">
      <c r="A163" s="11"/>
      <c r="B163" s="157" cm="1">
        <f t="array" ref="B163">INDEX(tbl_Ledger[Row ID],ROWS($B$27:$B163))</f>
        <v>137</v>
      </c>
      <c r="C163" s="158" cm="1">
        <f t="array" ref="C163">INDEX(tbl_Ledger[Date],ROWS($B$27:$B163))</f>
        <v>46132</v>
      </c>
      <c r="D163" s="157" t="str" cm="1">
        <f t="array" ref="D163">IF(INDEX(tbl_Ledger[Invoice Number],ROWS($B$27:$B163))="","",INDEX(tbl_Ledger[Invoice Number],ROWS($B$27:$B163)))</f>
        <v>GRA-2026-0008</v>
      </c>
      <c r="E163" s="157" t="str" cm="1">
        <f t="array" ref="E163">INDEX(tbl_Ledger[Tax Category],ROWS($B$27:$B163))</f>
        <v>NO_VAT</v>
      </c>
      <c r="F163" s="157" t="str" cm="1">
        <f t="array" ref="F163">INDEX(tbl_Ledger[Direction],ROWS($B$27:$B163))</f>
        <v>Outflow</v>
      </c>
      <c r="G163" s="159" cm="1">
        <f t="array" ref="G163">INDEX(tbl_Ledger[Tax Charged on Invoice],ROWS($B$27:$B163))</f>
        <v>0</v>
      </c>
      <c r="H163" s="159" cm="1">
        <f t="array" ref="H163">INDEX(tbl_Ledger[Expected Total Tax],ROWS($B$27:$B163))</f>
        <v>0</v>
      </c>
      <c r="I163" s="159" t="str" cm="1">
        <f t="array" ref="I163">INDEX(tbl_Ledger[Description],ROWS($B$27:$B163))</f>
        <v>VAT and levies remitted to GRA for April period</v>
      </c>
      <c r="J163" s="159" t="str" cm="1">
        <f t="array" ref="J163">INDEX(tbl_Ledger[Counterparty],ROWS($B$27:$B163))</f>
        <v>Ghana Revenue Authority</v>
      </c>
      <c r="K163" s="160" t="str">
        <f>IF(COUNTIF(Dup_Exclusions,$E163)&gt;0,"No","Yes")</f>
        <v>Yes</v>
      </c>
      <c r="L163" s="161" t="str">
        <f>IF(AND($D163="",COUNTIF(NoInv_Exempt,$E163)=0),"Yes","No")</f>
        <v>No</v>
      </c>
      <c r="M163" s="161" t="str" cm="1">
        <f t="array" ref="M163">IF(AND($D163&lt;&gt;"",$K163="Yes"),IF(SUMPRODUCT((tbl_Ledger[Invoice Number]=$D163)*(COUNTIF(Dup_Exclusions,tbl_Ledger[Tax Category])=0))&gt;1,"Yes","No"),"No")</f>
        <v>No</v>
      </c>
      <c r="N163" s="161" t="str">
        <f>IF(ABS($G163-$H163)&gt;Tax_Tolerance,"Yes","No")</f>
        <v>No</v>
      </c>
      <c r="O163" s="161" t="str">
        <f>IF(OR(AND($F163="Inflow",LEFT($E163,LEN(Prefix_Outflow))=Prefix_Outflow),AND($F163="Outflow",LEFT($E163,LEN(Prefix_Inflow))=Prefix_Inflow)),"Yes","No")</f>
        <v>No</v>
      </c>
      <c r="P163" s="161" t="str" cm="1">
        <f t="array" ref="P163">IF(AND(COUNTIF(Suspect_Categories,$E163)&gt;0,SUMPRODUCT(--ISNUMBER(SEARCH(Suspect_Keywords,$I163&amp;" "&amp;$J163)))&gt;0),"Yes","No")</f>
        <v>No</v>
      </c>
      <c r="Q163" s="161" t="str">
        <f t="shared" si="0"/>
        <v>No</v>
      </c>
    </row>
    <row r="164" spans="1:17" x14ac:dyDescent="0.3">
      <c r="A164" s="11"/>
      <c r="B164" s="157" cm="1">
        <f t="array" ref="B164">INDEX(tbl_Ledger[Row ID],ROWS($B$27:$B164))</f>
        <v>138</v>
      </c>
      <c r="C164" s="158" cm="1">
        <f t="array" ref="C164">INDEX(tbl_Ledger[Date],ROWS($B$27:$B164))</f>
        <v>46133</v>
      </c>
      <c r="D164" s="157" t="str" cm="1">
        <f t="array" ref="D164">IF(INDEX(tbl_Ledger[Invoice Number],ROWS($B$27:$B164))="","",INDEX(tbl_Ledger[Invoice Number],ROWS($B$27:$B164)))</f>
        <v>JNL-2026-0004</v>
      </c>
      <c r="E164" s="157" t="str" cm="1">
        <f t="array" ref="E164">INDEX(tbl_Ledger[Tax Category],ROWS($B$27:$B164))</f>
        <v>NO_VAT</v>
      </c>
      <c r="F164" s="157" t="str" cm="1">
        <f t="array" ref="F164">INDEX(tbl_Ledger[Direction],ROWS($B$27:$B164))</f>
        <v>Outflow</v>
      </c>
      <c r="G164" s="159" cm="1">
        <f t="array" ref="G164">INDEX(tbl_Ledger[Tax Charged on Invoice],ROWS($B$27:$B164))</f>
        <v>0</v>
      </c>
      <c r="H164" s="159" cm="1">
        <f t="array" ref="H164">INDEX(tbl_Ledger[Expected Total Tax],ROWS($B$27:$B164))</f>
        <v>0</v>
      </c>
      <c r="I164" s="159" t="str" cm="1">
        <f t="array" ref="I164">INDEX(tbl_Ledger[Description],ROWS($B$27:$B164))</f>
        <v>Dividend paid to shareholders</v>
      </c>
      <c r="J164" s="159" t="str" cm="1">
        <f t="array" ref="J164">INDEX(tbl_Ledger[Counterparty],ROWS($B$27:$B164))</f>
        <v>Meridian Bank Ghana Ltd</v>
      </c>
      <c r="K164" s="160" t="str">
        <f>IF(COUNTIF(Dup_Exclusions,$E164)&gt;0,"No","Yes")</f>
        <v>Yes</v>
      </c>
      <c r="L164" s="161" t="str">
        <f>IF(AND($D164="",COUNTIF(NoInv_Exempt,$E164)=0),"Yes","No")</f>
        <v>No</v>
      </c>
      <c r="M164" s="161" t="str" cm="1">
        <f t="array" ref="M164">IF(AND($D164&lt;&gt;"",$K164="Yes"),IF(SUMPRODUCT((tbl_Ledger[Invoice Number]=$D164)*(COUNTIF(Dup_Exclusions,tbl_Ledger[Tax Category])=0))&gt;1,"Yes","No"),"No")</f>
        <v>No</v>
      </c>
      <c r="N164" s="161" t="str">
        <f>IF(ABS($G164-$H164)&gt;Tax_Tolerance,"Yes","No")</f>
        <v>No</v>
      </c>
      <c r="O164" s="161" t="str">
        <f>IF(OR(AND($F164="Inflow",LEFT($E164,LEN(Prefix_Outflow))=Prefix_Outflow),AND($F164="Outflow",LEFT($E164,LEN(Prefix_Inflow))=Prefix_Inflow)),"Yes","No")</f>
        <v>No</v>
      </c>
      <c r="P164" s="161" t="str" cm="1">
        <f t="array" ref="P164">IF(AND(COUNTIF(Suspect_Categories,$E164)&gt;0,SUMPRODUCT(--ISNUMBER(SEARCH(Suspect_Keywords,$I164&amp;" "&amp;$J164)))&gt;0),"Yes","No")</f>
        <v>No</v>
      </c>
      <c r="Q164" s="161" t="str">
        <f t="shared" si="0"/>
        <v>No</v>
      </c>
    </row>
    <row r="165" spans="1:17" x14ac:dyDescent="0.3">
      <c r="A165" s="11"/>
      <c r="B165" s="157" cm="1">
        <f t="array" ref="B165">INDEX(tbl_Ledger[Row ID],ROWS($B$27:$B165))</f>
        <v>139</v>
      </c>
      <c r="C165" s="158" cm="1">
        <f t="array" ref="C165">INDEX(tbl_Ledger[Date],ROWS($B$27:$B165))</f>
        <v>46133</v>
      </c>
      <c r="D165" s="157" t="str" cm="1">
        <f t="array" ref="D165">IF(INDEX(tbl_Ledger[Invoice Number],ROWS($B$27:$B165))="","",INDEX(tbl_Ledger[Invoice Number],ROWS($B$27:$B165)))</f>
        <v>NHL-2026-0055</v>
      </c>
      <c r="E165" s="157" t="str" cm="1">
        <f t="array" ref="E165">INDEX(tbl_Ledger[Tax Category],ROWS($B$27:$B165))</f>
        <v>OUT_STD</v>
      </c>
      <c r="F165" s="157" t="str" cm="1">
        <f t="array" ref="F165">INDEX(tbl_Ledger[Direction],ROWS($B$27:$B165))</f>
        <v>Inflow</v>
      </c>
      <c r="G165" s="159" cm="1">
        <f t="array" ref="G165">INDEX(tbl_Ledger[Tax Charged on Invoice],ROWS($B$27:$B165))</f>
        <v>13513</v>
      </c>
      <c r="H165" s="159" cm="1">
        <f t="array" ref="H165">INDEX(tbl_Ledger[Expected Total Tax],ROWS($B$27:$B165))</f>
        <v>13513</v>
      </c>
      <c r="I165" s="159" t="str" cm="1">
        <f t="array" ref="I165">INDEX(tbl_Ledger[Description],ROWS($B$27:$B165))</f>
        <v>Bulk haulage of LPG, Takoradi-Wa, 8 trips</v>
      </c>
      <c r="J165" s="159" t="str" cm="1">
        <f t="array" ref="J165">INDEX(tbl_Ledger[Counterparty],ROWS($B$27:$B165))</f>
        <v>Pra River Energy Ltd</v>
      </c>
      <c r="K165" s="160" t="str">
        <f>IF(COUNTIF(Dup_Exclusions,$E165)&gt;0,"No","Yes")</f>
        <v>Yes</v>
      </c>
      <c r="L165" s="161" t="str">
        <f>IF(AND($D165="",COUNTIF(NoInv_Exempt,$E165)=0),"Yes","No")</f>
        <v>No</v>
      </c>
      <c r="M165" s="161" t="str" cm="1">
        <f t="array" ref="M165">IF(AND($D165&lt;&gt;"",$K165="Yes"),IF(SUMPRODUCT((tbl_Ledger[Invoice Number]=$D165)*(COUNTIF(Dup_Exclusions,tbl_Ledger[Tax Category])=0))&gt;1,"Yes","No"),"No")</f>
        <v>No</v>
      </c>
      <c r="N165" s="161" t="str">
        <f>IF(ABS($G165-$H165)&gt;Tax_Tolerance,"Yes","No")</f>
        <v>No</v>
      </c>
      <c r="O165" s="161" t="str">
        <f>IF(OR(AND($F165="Inflow",LEFT($E165,LEN(Prefix_Outflow))=Prefix_Outflow),AND($F165="Outflow",LEFT($E165,LEN(Prefix_Inflow))=Prefix_Inflow)),"Yes","No")</f>
        <v>No</v>
      </c>
      <c r="P165" s="161" t="str" cm="1">
        <f t="array" ref="P165">IF(AND(COUNTIF(Suspect_Categories,$E165)&gt;0,SUMPRODUCT(--ISNUMBER(SEARCH(Suspect_Keywords,$I165&amp;" "&amp;$J165)))&gt;0),"Yes","No")</f>
        <v>No</v>
      </c>
      <c r="Q165" s="161" t="str">
        <f t="shared" si="0"/>
        <v>No</v>
      </c>
    </row>
    <row r="166" spans="1:17" x14ac:dyDescent="0.3">
      <c r="A166" s="11"/>
      <c r="B166" s="157" cm="1">
        <f t="array" ref="B166">INDEX(tbl_Ledger[Row ID],ROWS($B$27:$B166))</f>
        <v>140</v>
      </c>
      <c r="C166" s="158" cm="1">
        <f t="array" ref="C166">INDEX(tbl_Ledger[Date],ROWS($B$27:$B166))</f>
        <v>46135</v>
      </c>
      <c r="D166" s="157" t="str" cm="1">
        <f t="array" ref="D166">IF(INDEX(tbl_Ledger[Invoice Number],ROWS($B$27:$B166))="","",INDEX(tbl_Ledger[Invoice Number],ROWS($B$27:$B166)))</f>
        <v>SIN-2026-0053</v>
      </c>
      <c r="E166" s="157" t="str" cm="1">
        <f t="array" ref="E166">INDEX(tbl_Ledger[Tax Category],ROWS($B$27:$B166))</f>
        <v>IN_EXEMPT</v>
      </c>
      <c r="F166" s="157" t="str" cm="1">
        <f t="array" ref="F166">INDEX(tbl_Ledger[Direction],ROWS($B$27:$B166))</f>
        <v>Outflow</v>
      </c>
      <c r="G166" s="159" cm="1">
        <f t="array" ref="G166">INDEX(tbl_Ledger[Tax Charged on Invoice],ROWS($B$27:$B166))</f>
        <v>0</v>
      </c>
      <c r="H166" s="159" cm="1">
        <f t="array" ref="H166">INDEX(tbl_Ledger[Expected Total Tax],ROWS($B$27:$B166))</f>
        <v>0</v>
      </c>
      <c r="I166" s="159" t="str" cm="1">
        <f t="array" ref="I166">INDEX(tbl_Ledger[Description],ROWS($B$27:$B166))</f>
        <v>Motor fleet insurance premium</v>
      </c>
      <c r="J166" s="159" t="str" cm="1">
        <f t="array" ref="J166">INDEX(tbl_Ledger[Counterparty],ROWS($B$27:$B166))</f>
        <v>Unity Assurance Ltd</v>
      </c>
      <c r="K166" s="160" t="str">
        <f>IF(COUNTIF(Dup_Exclusions,$E166)&gt;0,"No","Yes")</f>
        <v>Yes</v>
      </c>
      <c r="L166" s="161" t="str">
        <f>IF(AND($D166="",COUNTIF(NoInv_Exempt,$E166)=0),"Yes","No")</f>
        <v>No</v>
      </c>
      <c r="M166" s="161" t="str" cm="1">
        <f t="array" ref="M166">IF(AND($D166&lt;&gt;"",$K166="Yes"),IF(SUMPRODUCT((tbl_Ledger[Invoice Number]=$D166)*(COUNTIF(Dup_Exclusions,tbl_Ledger[Tax Category])=0))&gt;1,"Yes","No"),"No")</f>
        <v>No</v>
      </c>
      <c r="N166" s="161" t="str">
        <f>IF(ABS($G166-$H166)&gt;Tax_Tolerance,"Yes","No")</f>
        <v>No</v>
      </c>
      <c r="O166" s="161" t="str">
        <f>IF(OR(AND($F166="Inflow",LEFT($E166,LEN(Prefix_Outflow))=Prefix_Outflow),AND($F166="Outflow",LEFT($E166,LEN(Prefix_Inflow))=Prefix_Inflow)),"Yes","No")</f>
        <v>No</v>
      </c>
      <c r="P166" s="161" t="str" cm="1">
        <f t="array" ref="P166">IF(AND(COUNTIF(Suspect_Categories,$E166)&gt;0,SUMPRODUCT(--ISNUMBER(SEARCH(Suspect_Keywords,$I166&amp;" "&amp;$J166)))&gt;0),"Yes","No")</f>
        <v>No</v>
      </c>
      <c r="Q166" s="161" t="str">
        <f t="shared" si="0"/>
        <v>No</v>
      </c>
    </row>
    <row r="167" spans="1:17" x14ac:dyDescent="0.3">
      <c r="A167" s="11"/>
      <c r="B167" s="157" cm="1">
        <f t="array" ref="B167">INDEX(tbl_Ledger[Row ID],ROWS($B$27:$B167))</f>
        <v>141</v>
      </c>
      <c r="C167" s="158" cm="1">
        <f t="array" ref="C167">INDEX(tbl_Ledger[Date],ROWS($B$27:$B167))</f>
        <v>46135</v>
      </c>
      <c r="D167" s="157" t="str" cm="1">
        <f t="array" ref="D167">IF(INDEX(tbl_Ledger[Invoice Number],ROWS($B$27:$B167))="","",INDEX(tbl_Ledger[Invoice Number],ROWS($B$27:$B167)))</f>
        <v>SIN-2026-0054</v>
      </c>
      <c r="E167" s="157" t="str" cm="1">
        <f t="array" ref="E167">INDEX(tbl_Ledger[Tax Category],ROWS($B$27:$B167))</f>
        <v>IN_STD</v>
      </c>
      <c r="F167" s="157" t="str" cm="1">
        <f t="array" ref="F167">INDEX(tbl_Ledger[Direction],ROWS($B$27:$B167))</f>
        <v>Outflow</v>
      </c>
      <c r="G167" s="159" cm="1">
        <f t="array" ref="G167">INDEX(tbl_Ledger[Tax Charged on Invoice],ROWS($B$27:$B167))</f>
        <v>214.8</v>
      </c>
      <c r="H167" s="159" cm="1">
        <f t="array" ref="H167">INDEX(tbl_Ledger[Expected Total Tax],ROWS($B$27:$B167))</f>
        <v>214.79999999999998</v>
      </c>
      <c r="I167" s="159" t="str" cm="1">
        <f t="array" ref="I167">INDEX(tbl_Ledger[Description],ROWS($B$27:$B167))</f>
        <v>Mobile and data services</v>
      </c>
      <c r="J167" s="159" t="str" cm="1">
        <f t="array" ref="J167">INDEX(tbl_Ledger[Counterparty],ROWS($B$27:$B167))</f>
        <v>Greenfield IT Solutions Ltd</v>
      </c>
      <c r="K167" s="160" t="str">
        <f>IF(COUNTIF(Dup_Exclusions,$E167)&gt;0,"No","Yes")</f>
        <v>Yes</v>
      </c>
      <c r="L167" s="161" t="str">
        <f>IF(AND($D167="",COUNTIF(NoInv_Exempt,$E167)=0),"Yes","No")</f>
        <v>No</v>
      </c>
      <c r="M167" s="161" t="str" cm="1">
        <f t="array" ref="M167">IF(AND($D167&lt;&gt;"",$K167="Yes"),IF(SUMPRODUCT((tbl_Ledger[Invoice Number]=$D167)*(COUNTIF(Dup_Exclusions,tbl_Ledger[Tax Category])=0))&gt;1,"Yes","No"),"No")</f>
        <v>No</v>
      </c>
      <c r="N167" s="161" t="str">
        <f>IF(ABS($G167-$H167)&gt;Tax_Tolerance,"Yes","No")</f>
        <v>No</v>
      </c>
      <c r="O167" s="161" t="str">
        <f>IF(OR(AND($F167="Inflow",LEFT($E167,LEN(Prefix_Outflow))=Prefix_Outflow),AND($F167="Outflow",LEFT($E167,LEN(Prefix_Inflow))=Prefix_Inflow)),"Yes","No")</f>
        <v>No</v>
      </c>
      <c r="P167" s="161" t="str" cm="1">
        <f t="array" ref="P167">IF(AND(COUNTIF(Suspect_Categories,$E167)&gt;0,SUMPRODUCT(--ISNUMBER(SEARCH(Suspect_Keywords,$I167&amp;" "&amp;$J167)))&gt;0),"Yes","No")</f>
        <v>No</v>
      </c>
      <c r="Q167" s="161" t="str">
        <f t="shared" si="0"/>
        <v>No</v>
      </c>
    </row>
    <row r="168" spans="1:17" x14ac:dyDescent="0.3">
      <c r="A168" s="11"/>
      <c r="B168" s="157" cm="1">
        <f t="array" ref="B168">INDEX(tbl_Ledger[Row ID],ROWS($B$27:$B168))</f>
        <v>142</v>
      </c>
      <c r="C168" s="158" cm="1">
        <f t="array" ref="C168">INDEX(tbl_Ledger[Date],ROWS($B$27:$B168))</f>
        <v>46135</v>
      </c>
      <c r="D168" s="157" t="str" cm="1">
        <f t="array" ref="D168">IF(INDEX(tbl_Ledger[Invoice Number],ROWS($B$27:$B168))="","",INDEX(tbl_Ledger[Invoice Number],ROWS($B$27:$B168)))</f>
        <v>SIN-2026-0055</v>
      </c>
      <c r="E168" s="157" t="str" cm="1">
        <f t="array" ref="E168">INDEX(tbl_Ledger[Tax Category],ROWS($B$27:$B168))</f>
        <v>IN_STD</v>
      </c>
      <c r="F168" s="157" t="str" cm="1">
        <f t="array" ref="F168">INDEX(tbl_Ledger[Direction],ROWS($B$27:$B168))</f>
        <v>Outflow</v>
      </c>
      <c r="G168" s="159" cm="1">
        <f t="array" ref="G168">INDEX(tbl_Ledger[Tax Charged on Invoice],ROWS($B$27:$B168))</f>
        <v>845.6</v>
      </c>
      <c r="H168" s="159" cm="1">
        <f t="array" ref="H168">INDEX(tbl_Ledger[Expected Total Tax],ROWS($B$27:$B168))</f>
        <v>485.59999999999997</v>
      </c>
      <c r="I168" s="159" t="str" cm="1">
        <f t="array" ref="I168">INDEX(tbl_Ledger[Description],ROWS($B$27:$B168))</f>
        <v>Mobile and data services</v>
      </c>
      <c r="J168" s="159" t="str" cm="1">
        <f t="array" ref="J168">INDEX(tbl_Ledger[Counterparty],ROWS($B$27:$B168))</f>
        <v>Kumasi Tyre Centre Ltd</v>
      </c>
      <c r="K168" s="160" t="str">
        <f>IF(COUNTIF(Dup_Exclusions,$E168)&gt;0,"No","Yes")</f>
        <v>Yes</v>
      </c>
      <c r="L168" s="161" t="str">
        <f>IF(AND($D168="",COUNTIF(NoInv_Exempt,$E168)=0),"Yes","No")</f>
        <v>No</v>
      </c>
      <c r="M168" s="161" t="str" cm="1">
        <f t="array" ref="M168">IF(AND($D168&lt;&gt;"",$K168="Yes"),IF(SUMPRODUCT((tbl_Ledger[Invoice Number]=$D168)*(COUNTIF(Dup_Exclusions,tbl_Ledger[Tax Category])=0))&gt;1,"Yes","No"),"No")</f>
        <v>No</v>
      </c>
      <c r="N168" s="161" t="str">
        <f>IF(ABS($G168-$H168)&gt;Tax_Tolerance,"Yes","No")</f>
        <v>Yes</v>
      </c>
      <c r="O168" s="161" t="str">
        <f>IF(OR(AND($F168="Inflow",LEFT($E168,LEN(Prefix_Outflow))=Prefix_Outflow),AND($F168="Outflow",LEFT($E168,LEN(Prefix_Inflow))=Prefix_Inflow)),"Yes","No")</f>
        <v>No</v>
      </c>
      <c r="P168" s="161" t="str" cm="1">
        <f t="array" ref="P168">IF(AND(COUNTIF(Suspect_Categories,$E168)&gt;0,SUMPRODUCT(--ISNUMBER(SEARCH(Suspect_Keywords,$I168&amp;" "&amp;$J168)))&gt;0),"Yes","No")</f>
        <v>No</v>
      </c>
      <c r="Q168" s="161" t="str">
        <f t="shared" si="0"/>
        <v>Yes</v>
      </c>
    </row>
    <row r="169" spans="1:17" x14ac:dyDescent="0.3">
      <c r="A169" s="11"/>
      <c r="B169" s="157" cm="1">
        <f t="array" ref="B169">INDEX(tbl_Ledger[Row ID],ROWS($B$27:$B169))</f>
        <v>143</v>
      </c>
      <c r="C169" s="158" cm="1">
        <f t="array" ref="C169">INDEX(tbl_Ledger[Date],ROWS($B$27:$B169))</f>
        <v>46135</v>
      </c>
      <c r="D169" s="157" t="str" cm="1">
        <f t="array" ref="D169">IF(INDEX(tbl_Ledger[Invoice Number],ROWS($B$27:$B169))="","",INDEX(tbl_Ledger[Invoice Number],ROWS($B$27:$B169)))</f>
        <v>SIN-2026-0056</v>
      </c>
      <c r="E169" s="157" t="str" cm="1">
        <f t="array" ref="E169">INDEX(tbl_Ledger[Tax Category],ROWS($B$27:$B169))</f>
        <v>IN_STD</v>
      </c>
      <c r="F169" s="157" t="str" cm="1">
        <f t="array" ref="F169">INDEX(tbl_Ledger[Direction],ROWS($B$27:$B169))</f>
        <v>Outflow</v>
      </c>
      <c r="G169" s="159" cm="1">
        <f t="array" ref="G169">INDEX(tbl_Ledger[Tax Charged on Invoice],ROWS($B$27:$B169))</f>
        <v>1221.2</v>
      </c>
      <c r="H169" s="159" cm="1">
        <f t="array" ref="H169">INDEX(tbl_Ledger[Expected Total Tax],ROWS($B$27:$B169))</f>
        <v>1221.2</v>
      </c>
      <c r="I169" s="159" t="str" cm="1">
        <f t="array" ref="I169">INDEX(tbl_Ledger[Description],ROWS($B$27:$B169))</f>
        <v>Fleet tracking software subscription</v>
      </c>
      <c r="J169" s="159" t="str" cm="1">
        <f t="array" ref="J169">INDEX(tbl_Ledger[Counterparty],ROWS($B$27:$B169))</f>
        <v>Kumasi Tyre Centre Ltd</v>
      </c>
      <c r="K169" s="160" t="str">
        <f>IF(COUNTIF(Dup_Exclusions,$E169)&gt;0,"No","Yes")</f>
        <v>Yes</v>
      </c>
      <c r="L169" s="161" t="str">
        <f>IF(AND($D169="",COUNTIF(NoInv_Exempt,$E169)=0),"Yes","No")</f>
        <v>No</v>
      </c>
      <c r="M169" s="161" t="str" cm="1">
        <f t="array" ref="M169">IF(AND($D169&lt;&gt;"",$K169="Yes"),IF(SUMPRODUCT((tbl_Ledger[Invoice Number]=$D169)*(COUNTIF(Dup_Exclusions,tbl_Ledger[Tax Category])=0))&gt;1,"Yes","No"),"No")</f>
        <v>No</v>
      </c>
      <c r="N169" s="161" t="str">
        <f>IF(ABS($G169-$H169)&gt;Tax_Tolerance,"Yes","No")</f>
        <v>No</v>
      </c>
      <c r="O169" s="161" t="str">
        <f>IF(OR(AND($F169="Inflow",LEFT($E169,LEN(Prefix_Outflow))=Prefix_Outflow),AND($F169="Outflow",LEFT($E169,LEN(Prefix_Inflow))=Prefix_Inflow)),"Yes","No")</f>
        <v>No</v>
      </c>
      <c r="P169" s="161" t="str" cm="1">
        <f t="array" ref="P169">IF(AND(COUNTIF(Suspect_Categories,$E169)&gt;0,SUMPRODUCT(--ISNUMBER(SEARCH(Suspect_Keywords,$I169&amp;" "&amp;$J169)))&gt;0),"Yes","No")</f>
        <v>No</v>
      </c>
      <c r="Q169" s="161" t="str">
        <f t="shared" si="0"/>
        <v>No</v>
      </c>
    </row>
    <row r="170" spans="1:17" x14ac:dyDescent="0.3">
      <c r="A170" s="11"/>
      <c r="B170" s="157" cm="1">
        <f t="array" ref="B170">INDEX(tbl_Ledger[Row ID],ROWS($B$27:$B170))</f>
        <v>144</v>
      </c>
      <c r="C170" s="158" cm="1">
        <f t="array" ref="C170">INDEX(tbl_Ledger[Date],ROWS($B$27:$B170))</f>
        <v>46136</v>
      </c>
      <c r="D170" s="157" t="str" cm="1">
        <f t="array" ref="D170">IF(INDEX(tbl_Ledger[Invoice Number],ROWS($B$27:$B170))="","",INDEX(tbl_Ledger[Invoice Number],ROWS($B$27:$B170)))</f>
        <v>BNK-2026-0014</v>
      </c>
      <c r="E170" s="157" t="str" cm="1">
        <f t="array" ref="E170">INDEX(tbl_Ledger[Tax Category],ROWS($B$27:$B170))</f>
        <v>IN_EXEMPT</v>
      </c>
      <c r="F170" s="157" t="str" cm="1">
        <f t="array" ref="F170">INDEX(tbl_Ledger[Direction],ROWS($B$27:$B170))</f>
        <v>Outflow</v>
      </c>
      <c r="G170" s="159" cm="1">
        <f t="array" ref="G170">INDEX(tbl_Ledger[Tax Charged on Invoice],ROWS($B$27:$B170))</f>
        <v>0</v>
      </c>
      <c r="H170" s="159" cm="1">
        <f t="array" ref="H170">INDEX(tbl_Ledger[Expected Total Tax],ROWS($B$27:$B170))</f>
        <v>0</v>
      </c>
      <c r="I170" s="159" t="str" cm="1">
        <f t="array" ref="I170">INDEX(tbl_Ledger[Description],ROWS($B$27:$B170))</f>
        <v>Bank charges and account maintenance</v>
      </c>
      <c r="J170" s="159" t="str" cm="1">
        <f t="array" ref="J170">INDEX(tbl_Ledger[Counterparty],ROWS($B$27:$B170))</f>
        <v>Trust Union Bank Ltd</v>
      </c>
      <c r="K170" s="160" t="str">
        <f>IF(COUNTIF(Dup_Exclusions,$E170)&gt;0,"No","Yes")</f>
        <v>Yes</v>
      </c>
      <c r="L170" s="161" t="str">
        <f>IF(AND($D170="",COUNTIF(NoInv_Exempt,$E170)=0),"Yes","No")</f>
        <v>No</v>
      </c>
      <c r="M170" s="161" t="str" cm="1">
        <f t="array" ref="M170">IF(AND($D170&lt;&gt;"",$K170="Yes"),IF(SUMPRODUCT((tbl_Ledger[Invoice Number]=$D170)*(COUNTIF(Dup_Exclusions,tbl_Ledger[Tax Category])=0))&gt;1,"Yes","No"),"No")</f>
        <v>No</v>
      </c>
      <c r="N170" s="161" t="str">
        <f>IF(ABS($G170-$H170)&gt;Tax_Tolerance,"Yes","No")</f>
        <v>No</v>
      </c>
      <c r="O170" s="161" t="str">
        <f>IF(OR(AND($F170="Inflow",LEFT($E170,LEN(Prefix_Outflow))=Prefix_Outflow),AND($F170="Outflow",LEFT($E170,LEN(Prefix_Inflow))=Prefix_Inflow)),"Yes","No")</f>
        <v>No</v>
      </c>
      <c r="P170" s="161" t="str" cm="1">
        <f t="array" ref="P170">IF(AND(COUNTIF(Suspect_Categories,$E170)&gt;0,SUMPRODUCT(--ISNUMBER(SEARCH(Suspect_Keywords,$I170&amp;" "&amp;$J170)))&gt;0),"Yes","No")</f>
        <v>No</v>
      </c>
      <c r="Q170" s="161" t="str">
        <f t="shared" si="0"/>
        <v>No</v>
      </c>
    </row>
    <row r="171" spans="1:17" x14ac:dyDescent="0.3">
      <c r="A171" s="11"/>
      <c r="B171" s="157" cm="1">
        <f t="array" ref="B171">INDEX(tbl_Ledger[Row ID],ROWS($B$27:$B171))</f>
        <v>145</v>
      </c>
      <c r="C171" s="158" cm="1">
        <f t="array" ref="C171">INDEX(tbl_Ledger[Date],ROWS($B$27:$B171))</f>
        <v>46136</v>
      </c>
      <c r="D171" s="157" t="str" cm="1">
        <f t="array" ref="D171">IF(INDEX(tbl_Ledger[Invoice Number],ROWS($B$27:$B171))="","",INDEX(tbl_Ledger[Invoice Number],ROWS($B$27:$B171)))</f>
        <v>NHL-2026-0056</v>
      </c>
      <c r="E171" s="157" t="str" cm="1">
        <f t="array" ref="E171">INDEX(tbl_Ledger[Tax Category],ROWS($B$27:$B171))</f>
        <v>OUT_STD</v>
      </c>
      <c r="F171" s="157" t="str" cm="1">
        <f t="array" ref="F171">INDEX(tbl_Ledger[Direction],ROWS($B$27:$B171))</f>
        <v>Inflow</v>
      </c>
      <c r="G171" s="159" cm="1">
        <f t="array" ref="G171">INDEX(tbl_Ledger[Tax Charged on Invoice],ROWS($B$27:$B171))</f>
        <v>10406</v>
      </c>
      <c r="H171" s="159" cm="1">
        <f t="array" ref="H171">INDEX(tbl_Ledger[Expected Total Tax],ROWS($B$27:$B171))</f>
        <v>10406</v>
      </c>
      <c r="I171" s="159" t="str" cm="1">
        <f t="array" ref="I171">INDEX(tbl_Ledger[Description],ROWS($B$27:$B171))</f>
        <v>Bulk haulage of ATK, Tema-Bolgatanga, 9 trips</v>
      </c>
      <c r="J171" s="159" t="str" cm="1">
        <f t="array" ref="J171">INDEX(tbl_Ledger[Counterparty],ROWS($B$27:$B171))</f>
        <v>Volta Star Fuels Ltd</v>
      </c>
      <c r="K171" s="160" t="str">
        <f>IF(COUNTIF(Dup_Exclusions,$E171)&gt;0,"No","Yes")</f>
        <v>Yes</v>
      </c>
      <c r="L171" s="161" t="str">
        <f>IF(AND($D171="",COUNTIF(NoInv_Exempt,$E171)=0),"Yes","No")</f>
        <v>No</v>
      </c>
      <c r="M171" s="161" t="str" cm="1">
        <f t="array" ref="M171">IF(AND($D171&lt;&gt;"",$K171="Yes"),IF(SUMPRODUCT((tbl_Ledger[Invoice Number]=$D171)*(COUNTIF(Dup_Exclusions,tbl_Ledger[Tax Category])=0))&gt;1,"Yes","No"),"No")</f>
        <v>No</v>
      </c>
      <c r="N171" s="161" t="str">
        <f>IF(ABS($G171-$H171)&gt;Tax_Tolerance,"Yes","No")</f>
        <v>No</v>
      </c>
      <c r="O171" s="161" t="str">
        <f>IF(OR(AND($F171="Inflow",LEFT($E171,LEN(Prefix_Outflow))=Prefix_Outflow),AND($F171="Outflow",LEFT($E171,LEN(Prefix_Inflow))=Prefix_Inflow)),"Yes","No")</f>
        <v>No</v>
      </c>
      <c r="P171" s="161" t="str" cm="1">
        <f t="array" ref="P171">IF(AND(COUNTIF(Suspect_Categories,$E171)&gt;0,SUMPRODUCT(--ISNUMBER(SEARCH(Suspect_Keywords,$I171&amp;" "&amp;$J171)))&gt;0),"Yes","No")</f>
        <v>No</v>
      </c>
      <c r="Q171" s="161" t="str">
        <f t="shared" si="0"/>
        <v>No</v>
      </c>
    </row>
    <row r="172" spans="1:17" x14ac:dyDescent="0.3">
      <c r="A172" s="11"/>
      <c r="B172" s="157" cm="1">
        <f t="array" ref="B172">INDEX(tbl_Ledger[Row ID],ROWS($B$27:$B172))</f>
        <v>146</v>
      </c>
      <c r="C172" s="158" cm="1">
        <f t="array" ref="C172">INDEX(tbl_Ledger[Date],ROWS($B$27:$B172))</f>
        <v>46137</v>
      </c>
      <c r="D172" s="157" t="str" cm="1">
        <f t="array" ref="D172">IF(INDEX(tbl_Ledger[Invoice Number],ROWS($B$27:$B172))="","",INDEX(tbl_Ledger[Invoice Number],ROWS($B$27:$B172)))</f>
        <v>SIN-2026-0057</v>
      </c>
      <c r="E172" s="157" t="str" cm="1">
        <f t="array" ref="E172">INDEX(tbl_Ledger[Tax Category],ROWS($B$27:$B172))</f>
        <v>IN_STD</v>
      </c>
      <c r="F172" s="157" t="str" cm="1">
        <f t="array" ref="F172">INDEX(tbl_Ledger[Direction],ROWS($B$27:$B172))</f>
        <v>Outflow</v>
      </c>
      <c r="G172" s="159" cm="1">
        <f t="array" ref="G172">INDEX(tbl_Ledger[Tax Charged on Invoice],ROWS($B$27:$B172))</f>
        <v>494</v>
      </c>
      <c r="H172" s="159" cm="1">
        <f t="array" ref="H172">INDEX(tbl_Ledger[Expected Total Tax],ROWS($B$27:$B172))</f>
        <v>494</v>
      </c>
      <c r="I172" s="159" t="str" cm="1">
        <f t="array" ref="I172">INDEX(tbl_Ledger[Description],ROWS($B$27:$B172))</f>
        <v>Fleet tracking software subscription</v>
      </c>
      <c r="J172" s="159" t="str" cm="1">
        <f t="array" ref="J172">INDEX(tbl_Ledger[Counterparty],ROWS($B$27:$B172))</f>
        <v>Ashanti Truck Parts Ltd</v>
      </c>
      <c r="K172" s="160" t="str">
        <f>IF(COUNTIF(Dup_Exclusions,$E172)&gt;0,"No","Yes")</f>
        <v>Yes</v>
      </c>
      <c r="L172" s="161" t="str">
        <f>IF(AND($D172="",COUNTIF(NoInv_Exempt,$E172)=0),"Yes","No")</f>
        <v>No</v>
      </c>
      <c r="M172" s="161" t="str" cm="1">
        <f t="array" ref="M172">IF(AND($D172&lt;&gt;"",$K172="Yes"),IF(SUMPRODUCT((tbl_Ledger[Invoice Number]=$D172)*(COUNTIF(Dup_Exclusions,tbl_Ledger[Tax Category])=0))&gt;1,"Yes","No"),"No")</f>
        <v>No</v>
      </c>
      <c r="N172" s="161" t="str">
        <f>IF(ABS($G172-$H172)&gt;Tax_Tolerance,"Yes","No")</f>
        <v>No</v>
      </c>
      <c r="O172" s="161" t="str">
        <f>IF(OR(AND($F172="Inflow",LEFT($E172,LEN(Prefix_Outflow))=Prefix_Outflow),AND($F172="Outflow",LEFT($E172,LEN(Prefix_Inflow))=Prefix_Inflow)),"Yes","No")</f>
        <v>No</v>
      </c>
      <c r="P172" s="161" t="str" cm="1">
        <f t="array" ref="P172">IF(AND(COUNTIF(Suspect_Categories,$E172)&gt;0,SUMPRODUCT(--ISNUMBER(SEARCH(Suspect_Keywords,$I172&amp;" "&amp;$J172)))&gt;0),"Yes","No")</f>
        <v>No</v>
      </c>
      <c r="Q172" s="161" t="str">
        <f t="shared" si="0"/>
        <v>No</v>
      </c>
    </row>
    <row r="173" spans="1:17" x14ac:dyDescent="0.3">
      <c r="A173" s="11"/>
      <c r="B173" s="157" cm="1">
        <f t="array" ref="B173">INDEX(tbl_Ledger[Row ID],ROWS($B$27:$B173))</f>
        <v>147</v>
      </c>
      <c r="C173" s="158" cm="1">
        <f t="array" ref="C173">INDEX(tbl_Ledger[Date],ROWS($B$27:$B173))</f>
        <v>46137</v>
      </c>
      <c r="D173" s="157" t="str" cm="1">
        <f t="array" ref="D173">IF(INDEX(tbl_Ledger[Invoice Number],ROWS($B$27:$B173))="","",INDEX(tbl_Ledger[Invoice Number],ROWS($B$27:$B173)))</f>
        <v>NHL-2026-0057</v>
      </c>
      <c r="E173" s="157" t="str" cm="1">
        <f t="array" ref="E173">INDEX(tbl_Ledger[Tax Category],ROWS($B$27:$B173))</f>
        <v>OUT_STD</v>
      </c>
      <c r="F173" s="157" t="str" cm="1">
        <f t="array" ref="F173">INDEX(tbl_Ledger[Direction],ROWS($B$27:$B173))</f>
        <v>Inflow</v>
      </c>
      <c r="G173" s="159" cm="1">
        <f t="array" ref="G173">INDEX(tbl_Ledger[Tax Charged on Invoice],ROWS($B$27:$B173))</f>
        <v>4867</v>
      </c>
      <c r="H173" s="159" cm="1">
        <f t="array" ref="H173">INDEX(tbl_Ledger[Expected Total Tax],ROWS($B$27:$B173))</f>
        <v>4867</v>
      </c>
      <c r="I173" s="159" t="str" cm="1">
        <f t="array" ref="I173">INDEX(tbl_Ledger[Description],ROWS($B$27:$B173))</f>
        <v>Bulk haulage of AGO, Takoradi-Wa, 4 trips</v>
      </c>
      <c r="J173" s="159" t="str" cm="1">
        <f t="array" ref="J173">INDEX(tbl_Ledger[Counterparty],ROWS($B$27:$B173))</f>
        <v>Golden Harmattan Energy Ltd</v>
      </c>
      <c r="K173" s="160" t="str">
        <f>IF(COUNTIF(Dup_Exclusions,$E173)&gt;0,"No","Yes")</f>
        <v>Yes</v>
      </c>
      <c r="L173" s="161" t="str">
        <f>IF(AND($D173="",COUNTIF(NoInv_Exempt,$E173)=0),"Yes","No")</f>
        <v>No</v>
      </c>
      <c r="M173" s="161" t="str" cm="1">
        <f t="array" ref="M173">IF(AND($D173&lt;&gt;"",$K173="Yes"),IF(SUMPRODUCT((tbl_Ledger[Invoice Number]=$D173)*(COUNTIF(Dup_Exclusions,tbl_Ledger[Tax Category])=0))&gt;1,"Yes","No"),"No")</f>
        <v>No</v>
      </c>
      <c r="N173" s="161" t="str">
        <f>IF(ABS($G173-$H173)&gt;Tax_Tolerance,"Yes","No")</f>
        <v>No</v>
      </c>
      <c r="O173" s="161" t="str">
        <f>IF(OR(AND($F173="Inflow",LEFT($E173,LEN(Prefix_Outflow))=Prefix_Outflow),AND($F173="Outflow",LEFT($E173,LEN(Prefix_Inflow))=Prefix_Inflow)),"Yes","No")</f>
        <v>No</v>
      </c>
      <c r="P173" s="161" t="str" cm="1">
        <f t="array" ref="P173">IF(AND(COUNTIF(Suspect_Categories,$E173)&gt;0,SUMPRODUCT(--ISNUMBER(SEARCH(Suspect_Keywords,$I173&amp;" "&amp;$J173)))&gt;0),"Yes","No")</f>
        <v>No</v>
      </c>
      <c r="Q173" s="161" t="str">
        <f t="shared" si="0"/>
        <v>No</v>
      </c>
    </row>
    <row r="174" spans="1:17" x14ac:dyDescent="0.3">
      <c r="A174" s="11"/>
      <c r="B174" s="157" cm="1">
        <f t="array" ref="B174">INDEX(tbl_Ledger[Row ID],ROWS($B$27:$B174))</f>
        <v>148</v>
      </c>
      <c r="C174" s="158" cm="1">
        <f t="array" ref="C174">INDEX(tbl_Ledger[Date],ROWS($B$27:$B174))</f>
        <v>46137</v>
      </c>
      <c r="D174" s="157" t="str" cm="1">
        <f t="array" ref="D174">IF(INDEX(tbl_Ledger[Invoice Number],ROWS($B$27:$B174))="","",INDEX(tbl_Ledger[Invoice Number],ROWS($B$27:$B174)))</f>
        <v>NHL-2026-0058</v>
      </c>
      <c r="E174" s="157" t="str" cm="1">
        <f t="array" ref="E174">INDEX(tbl_Ledger[Tax Category],ROWS($B$27:$B174))</f>
        <v>OUT_STD</v>
      </c>
      <c r="F174" s="157" t="str" cm="1">
        <f t="array" ref="F174">INDEX(tbl_Ledger[Direction],ROWS($B$27:$B174))</f>
        <v>Inflow</v>
      </c>
      <c r="G174" s="159" cm="1">
        <f t="array" ref="G174">INDEX(tbl_Ledger[Tax Charged on Invoice],ROWS($B$27:$B174))</f>
        <v>12077</v>
      </c>
      <c r="H174" s="159" cm="1">
        <f t="array" ref="H174">INDEX(tbl_Ledger[Expected Total Tax],ROWS($B$27:$B174))</f>
        <v>12077</v>
      </c>
      <c r="I174" s="159" t="str" cm="1">
        <f t="array" ref="I174">INDEX(tbl_Ledger[Description],ROWS($B$27:$B174))</f>
        <v>Bulk haulage of AGO, Tema-Cape Coast, 9 trips</v>
      </c>
      <c r="J174" s="159" t="str" cm="1">
        <f t="array" ref="J174">INDEX(tbl_Ledger[Counterparty],ROWS($B$27:$B174))</f>
        <v>Golden Harmattan Energy Ltd</v>
      </c>
      <c r="K174" s="160" t="str">
        <f>IF(COUNTIF(Dup_Exclusions,$E174)&gt;0,"No","Yes")</f>
        <v>Yes</v>
      </c>
      <c r="L174" s="161" t="str">
        <f>IF(AND($D174="",COUNTIF(NoInv_Exempt,$E174)=0),"Yes","No")</f>
        <v>No</v>
      </c>
      <c r="M174" s="161" t="str" cm="1">
        <f t="array" ref="M174">IF(AND($D174&lt;&gt;"",$K174="Yes"),IF(SUMPRODUCT((tbl_Ledger[Invoice Number]=$D174)*(COUNTIF(Dup_Exclusions,tbl_Ledger[Tax Category])=0))&gt;1,"Yes","No"),"No")</f>
        <v>No</v>
      </c>
      <c r="N174" s="161" t="str">
        <f>IF(ABS($G174-$H174)&gt;Tax_Tolerance,"Yes","No")</f>
        <v>No</v>
      </c>
      <c r="O174" s="161" t="str">
        <f>IF(OR(AND($F174="Inflow",LEFT($E174,LEN(Prefix_Outflow))=Prefix_Outflow),AND($F174="Outflow",LEFT($E174,LEN(Prefix_Inflow))=Prefix_Inflow)),"Yes","No")</f>
        <v>No</v>
      </c>
      <c r="P174" s="161" t="str" cm="1">
        <f t="array" ref="P174">IF(AND(COUNTIF(Suspect_Categories,$E174)&gt;0,SUMPRODUCT(--ISNUMBER(SEARCH(Suspect_Keywords,$I174&amp;" "&amp;$J174)))&gt;0),"Yes","No")</f>
        <v>No</v>
      </c>
      <c r="Q174" s="161" t="str">
        <f t="shared" si="0"/>
        <v>No</v>
      </c>
    </row>
    <row r="175" spans="1:17" x14ac:dyDescent="0.3">
      <c r="A175" s="11"/>
      <c r="B175" s="157" cm="1">
        <f t="array" ref="B175">INDEX(tbl_Ledger[Row ID],ROWS($B$27:$B175))</f>
        <v>149</v>
      </c>
      <c r="C175" s="158" cm="1">
        <f t="array" ref="C175">INDEX(tbl_Ledger[Date],ROWS($B$27:$B175))</f>
        <v>46138</v>
      </c>
      <c r="D175" s="157" t="str" cm="1">
        <f t="array" ref="D175">IF(INDEX(tbl_Ledger[Invoice Number],ROWS($B$27:$B175))="","",INDEX(tbl_Ledger[Invoice Number],ROWS($B$27:$B175)))</f>
        <v>SIN-2026-0058</v>
      </c>
      <c r="E175" s="157" t="str" cm="1">
        <f t="array" ref="E175">INDEX(tbl_Ledger[Tax Category],ROWS($B$27:$B175))</f>
        <v>IN_STD</v>
      </c>
      <c r="F175" s="157" t="str" cm="1">
        <f t="array" ref="F175">INDEX(tbl_Ledger[Direction],ROWS($B$27:$B175))</f>
        <v>Outflow</v>
      </c>
      <c r="G175" s="159" cm="1">
        <f t="array" ref="G175">INDEX(tbl_Ledger[Tax Charged on Invoice],ROWS($B$27:$B175))</f>
        <v>250.4</v>
      </c>
      <c r="H175" s="159" cm="1">
        <f t="array" ref="H175">INDEX(tbl_Ledger[Expected Total Tax],ROWS($B$27:$B175))</f>
        <v>250.4</v>
      </c>
      <c r="I175" s="159" t="str" cm="1">
        <f t="array" ref="I175">INDEX(tbl_Ledger[Description],ROWS($B$27:$B175))</f>
        <v>Office stationery and printing</v>
      </c>
      <c r="J175" s="159" t="str" cm="1">
        <f t="array" ref="J175">INDEX(tbl_Ledger[Counterparty],ROWS($B$27:$B175))</f>
        <v>Greenfield IT Solutions Ltd</v>
      </c>
      <c r="K175" s="160" t="str">
        <f>IF(COUNTIF(Dup_Exclusions,$E175)&gt;0,"No","Yes")</f>
        <v>Yes</v>
      </c>
      <c r="L175" s="161" t="str">
        <f>IF(AND($D175="",COUNTIF(NoInv_Exempt,$E175)=0),"Yes","No")</f>
        <v>No</v>
      </c>
      <c r="M175" s="161" t="str" cm="1">
        <f t="array" ref="M175">IF(AND($D175&lt;&gt;"",$K175="Yes"),IF(SUMPRODUCT((tbl_Ledger[Invoice Number]=$D175)*(COUNTIF(Dup_Exclusions,tbl_Ledger[Tax Category])=0))&gt;1,"Yes","No"),"No")</f>
        <v>No</v>
      </c>
      <c r="N175" s="161" t="str">
        <f>IF(ABS($G175-$H175)&gt;Tax_Tolerance,"Yes","No")</f>
        <v>No</v>
      </c>
      <c r="O175" s="161" t="str">
        <f>IF(OR(AND($F175="Inflow",LEFT($E175,LEN(Prefix_Outflow))=Prefix_Outflow),AND($F175="Outflow",LEFT($E175,LEN(Prefix_Inflow))=Prefix_Inflow)),"Yes","No")</f>
        <v>No</v>
      </c>
      <c r="P175" s="161" t="str" cm="1">
        <f t="array" ref="P175">IF(AND(COUNTIF(Suspect_Categories,$E175)&gt;0,SUMPRODUCT(--ISNUMBER(SEARCH(Suspect_Keywords,$I175&amp;" "&amp;$J175)))&gt;0),"Yes","No")</f>
        <v>No</v>
      </c>
      <c r="Q175" s="161" t="str">
        <f t="shared" si="0"/>
        <v>No</v>
      </c>
    </row>
    <row r="176" spans="1:17" x14ac:dyDescent="0.3">
      <c r="A176" s="11"/>
      <c r="B176" s="157" cm="1">
        <f t="array" ref="B176">INDEX(tbl_Ledger[Row ID],ROWS($B$27:$B176))</f>
        <v>150</v>
      </c>
      <c r="C176" s="158" cm="1">
        <f t="array" ref="C176">INDEX(tbl_Ledger[Date],ROWS($B$27:$B176))</f>
        <v>46138</v>
      </c>
      <c r="D176" s="157" t="str" cm="1">
        <f t="array" ref="D176">IF(INDEX(tbl_Ledger[Invoice Number],ROWS($B$27:$B176))="","",INDEX(tbl_Ledger[Invoice Number],ROWS($B$27:$B176)))</f>
        <v>SIN-2026-0059</v>
      </c>
      <c r="E176" s="157" t="str" cm="1">
        <f t="array" ref="E176">INDEX(tbl_Ledger[Tax Category],ROWS($B$27:$B176))</f>
        <v>IN_STD</v>
      </c>
      <c r="F176" s="157" t="str" cm="1">
        <f t="array" ref="F176">INDEX(tbl_Ledger[Direction],ROWS($B$27:$B176))</f>
        <v>Outflow</v>
      </c>
      <c r="G176" s="159" cm="1">
        <f t="array" ref="G176">INDEX(tbl_Ledger[Tax Charged on Invoice],ROWS($B$27:$B176))</f>
        <v>246.4</v>
      </c>
      <c r="H176" s="159" cm="1">
        <f t="array" ref="H176">INDEX(tbl_Ledger[Expected Total Tax],ROWS($B$27:$B176))</f>
        <v>246.4</v>
      </c>
      <c r="I176" s="159" t="str" cm="1">
        <f t="array" ref="I176">INDEX(tbl_Ledger[Description],ROWS($B$27:$B176))</f>
        <v>Office stationery and printing</v>
      </c>
      <c r="J176" s="159" t="str" cm="1">
        <f t="array" ref="J176">INDEX(tbl_Ledger[Counterparty],ROWS($B$27:$B176))</f>
        <v>Greenfield IT Solutions Ltd</v>
      </c>
      <c r="K176" s="160" t="str">
        <f>IF(COUNTIF(Dup_Exclusions,$E176)&gt;0,"No","Yes")</f>
        <v>Yes</v>
      </c>
      <c r="L176" s="161" t="str">
        <f>IF(AND($D176="",COUNTIF(NoInv_Exempt,$E176)=0),"Yes","No")</f>
        <v>No</v>
      </c>
      <c r="M176" s="161" t="str" cm="1">
        <f t="array" ref="M176">IF(AND($D176&lt;&gt;"",$K176="Yes"),IF(SUMPRODUCT((tbl_Ledger[Invoice Number]=$D176)*(COUNTIF(Dup_Exclusions,tbl_Ledger[Tax Category])=0))&gt;1,"Yes","No"),"No")</f>
        <v>No</v>
      </c>
      <c r="N176" s="161" t="str">
        <f>IF(ABS($G176-$H176)&gt;Tax_Tolerance,"Yes","No")</f>
        <v>No</v>
      </c>
      <c r="O176" s="161" t="str">
        <f>IF(OR(AND($F176="Inflow",LEFT($E176,LEN(Prefix_Outflow))=Prefix_Outflow),AND($F176="Outflow",LEFT($E176,LEN(Prefix_Inflow))=Prefix_Inflow)),"Yes","No")</f>
        <v>No</v>
      </c>
      <c r="P176" s="161" t="str" cm="1">
        <f t="array" ref="P176">IF(AND(COUNTIF(Suspect_Categories,$E176)&gt;0,SUMPRODUCT(--ISNUMBER(SEARCH(Suspect_Keywords,$I176&amp;" "&amp;$J176)))&gt;0),"Yes","No")</f>
        <v>No</v>
      </c>
      <c r="Q176" s="161" t="str">
        <f t="shared" si="0"/>
        <v>No</v>
      </c>
    </row>
    <row r="177" spans="1:17" x14ac:dyDescent="0.3">
      <c r="A177" s="11"/>
      <c r="B177" s="157" cm="1">
        <f t="array" ref="B177">INDEX(tbl_Ledger[Row ID],ROWS($B$27:$B177))</f>
        <v>151</v>
      </c>
      <c r="C177" s="158" cm="1">
        <f t="array" ref="C177">INDEX(tbl_Ledger[Date],ROWS($B$27:$B177))</f>
        <v>46139</v>
      </c>
      <c r="D177" s="157" t="str" cm="1">
        <f t="array" ref="D177">IF(INDEX(tbl_Ledger[Invoice Number],ROWS($B$27:$B177))="","",INDEX(tbl_Ledger[Invoice Number],ROWS($B$27:$B177)))</f>
        <v>BNK-2026-0015</v>
      </c>
      <c r="E177" s="157" t="str" cm="1">
        <f t="array" ref="E177">INDEX(tbl_Ledger[Tax Category],ROWS($B$27:$B177))</f>
        <v>IN_EXEMPT</v>
      </c>
      <c r="F177" s="157" t="str" cm="1">
        <f t="array" ref="F177">INDEX(tbl_Ledger[Direction],ROWS($B$27:$B177))</f>
        <v>Outflow</v>
      </c>
      <c r="G177" s="159" cm="1">
        <f t="array" ref="G177">INDEX(tbl_Ledger[Tax Charged on Invoice],ROWS($B$27:$B177))</f>
        <v>0</v>
      </c>
      <c r="H177" s="159" cm="1">
        <f t="array" ref="H177">INDEX(tbl_Ledger[Expected Total Tax],ROWS($B$27:$B177))</f>
        <v>0</v>
      </c>
      <c r="I177" s="159" t="str" cm="1">
        <f t="array" ref="I177">INDEX(tbl_Ledger[Description],ROWS($B$27:$B177))</f>
        <v>Transfer and settlement charges</v>
      </c>
      <c r="J177" s="159" t="str" cm="1">
        <f t="array" ref="J177">INDEX(tbl_Ledger[Counterparty],ROWS($B$27:$B177))</f>
        <v>Trust Union Bank Ltd</v>
      </c>
      <c r="K177" s="160" t="str">
        <f>IF(COUNTIF(Dup_Exclusions,$E177)&gt;0,"No","Yes")</f>
        <v>Yes</v>
      </c>
      <c r="L177" s="161" t="str">
        <f>IF(AND($D177="",COUNTIF(NoInv_Exempt,$E177)=0),"Yes","No")</f>
        <v>No</v>
      </c>
      <c r="M177" s="161" t="str" cm="1">
        <f t="array" ref="M177">IF(AND($D177&lt;&gt;"",$K177="Yes"),IF(SUMPRODUCT((tbl_Ledger[Invoice Number]=$D177)*(COUNTIF(Dup_Exclusions,tbl_Ledger[Tax Category])=0))&gt;1,"Yes","No"),"No")</f>
        <v>No</v>
      </c>
      <c r="N177" s="161" t="str">
        <f>IF(ABS($G177-$H177)&gt;Tax_Tolerance,"Yes","No")</f>
        <v>No</v>
      </c>
      <c r="O177" s="161" t="str">
        <f>IF(OR(AND($F177="Inflow",LEFT($E177,LEN(Prefix_Outflow))=Prefix_Outflow),AND($F177="Outflow",LEFT($E177,LEN(Prefix_Inflow))=Prefix_Inflow)),"Yes","No")</f>
        <v>No</v>
      </c>
      <c r="P177" s="161" t="str" cm="1">
        <f t="array" ref="P177">IF(AND(COUNTIF(Suspect_Categories,$E177)&gt;0,SUMPRODUCT(--ISNUMBER(SEARCH(Suspect_Keywords,$I177&amp;" "&amp;$J177)))&gt;0),"Yes","No")</f>
        <v>No</v>
      </c>
      <c r="Q177" s="161" t="str">
        <f t="shared" si="0"/>
        <v>No</v>
      </c>
    </row>
    <row r="178" spans="1:17" x14ac:dyDescent="0.3">
      <c r="A178" s="11"/>
      <c r="B178" s="157" cm="1">
        <f t="array" ref="B178">INDEX(tbl_Ledger[Row ID],ROWS($B$27:$B178))</f>
        <v>152</v>
      </c>
      <c r="C178" s="158" cm="1">
        <f t="array" ref="C178">INDEX(tbl_Ledger[Date],ROWS($B$27:$B178))</f>
        <v>46139</v>
      </c>
      <c r="D178" s="157" t="str" cm="1">
        <f t="array" ref="D178">IF(INDEX(tbl_Ledger[Invoice Number],ROWS($B$27:$B178))="","",INDEX(tbl_Ledger[Invoice Number],ROWS($B$27:$B178)))</f>
        <v>SIN-2026-0060</v>
      </c>
      <c r="E178" s="157" t="str" cm="1">
        <f t="array" ref="E178">INDEX(tbl_Ledger[Tax Category],ROWS($B$27:$B178))</f>
        <v>IN_STD</v>
      </c>
      <c r="F178" s="157" t="str" cm="1">
        <f t="array" ref="F178">INDEX(tbl_Ledger[Direction],ROWS($B$27:$B178))</f>
        <v>Outflow</v>
      </c>
      <c r="G178" s="159" cm="1">
        <f t="array" ref="G178">INDEX(tbl_Ledger[Tax Charged on Invoice],ROWS($B$27:$B178))</f>
        <v>1031.5999999999999</v>
      </c>
      <c r="H178" s="159" cm="1">
        <f t="array" ref="H178">INDEX(tbl_Ledger[Expected Total Tax],ROWS($B$27:$B178))</f>
        <v>1031.5999999999999</v>
      </c>
      <c r="I178" s="159" t="str" cm="1">
        <f t="array" ref="I178">INDEX(tbl_Ledger[Description],ROWS($B$27:$B178))</f>
        <v>Workshop consumables and lubricants</v>
      </c>
      <c r="J178" s="159" t="str" cm="1">
        <f t="array" ref="J178">INDEX(tbl_Ledger[Counterparty],ROWS($B$27:$B178))</f>
        <v>Sahara Fleet Services Ltd</v>
      </c>
      <c r="K178" s="160" t="str">
        <f>IF(COUNTIF(Dup_Exclusions,$E178)&gt;0,"No","Yes")</f>
        <v>Yes</v>
      </c>
      <c r="L178" s="161" t="str">
        <f>IF(AND($D178="",COUNTIF(NoInv_Exempt,$E178)=0),"Yes","No")</f>
        <v>No</v>
      </c>
      <c r="M178" s="161" t="str" cm="1">
        <f t="array" ref="M178">IF(AND($D178&lt;&gt;"",$K178="Yes"),IF(SUMPRODUCT((tbl_Ledger[Invoice Number]=$D178)*(COUNTIF(Dup_Exclusions,tbl_Ledger[Tax Category])=0))&gt;1,"Yes","No"),"No")</f>
        <v>No</v>
      </c>
      <c r="N178" s="161" t="str">
        <f>IF(ABS($G178-$H178)&gt;Tax_Tolerance,"Yes","No")</f>
        <v>No</v>
      </c>
      <c r="O178" s="161" t="str">
        <f>IF(OR(AND($F178="Inflow",LEFT($E178,LEN(Prefix_Outflow))=Prefix_Outflow),AND($F178="Outflow",LEFT($E178,LEN(Prefix_Inflow))=Prefix_Inflow)),"Yes","No")</f>
        <v>No</v>
      </c>
      <c r="P178" s="161" t="str" cm="1">
        <f t="array" ref="P178">IF(AND(COUNTIF(Suspect_Categories,$E178)&gt;0,SUMPRODUCT(--ISNUMBER(SEARCH(Suspect_Keywords,$I178&amp;" "&amp;$J178)))&gt;0),"Yes","No")</f>
        <v>No</v>
      </c>
      <c r="Q178" s="161" t="str">
        <f t="shared" si="0"/>
        <v>No</v>
      </c>
    </row>
    <row r="179" spans="1:17" x14ac:dyDescent="0.3">
      <c r="A179" s="11"/>
      <c r="B179" s="157" cm="1">
        <f t="array" ref="B179">INDEX(tbl_Ledger[Row ID],ROWS($B$27:$B179))</f>
        <v>153</v>
      </c>
      <c r="C179" s="158" cm="1">
        <f t="array" ref="C179">INDEX(tbl_Ledger[Date],ROWS($B$27:$B179))</f>
        <v>46139</v>
      </c>
      <c r="D179" s="157" t="str" cm="1">
        <f t="array" ref="D179">IF(INDEX(tbl_Ledger[Invoice Number],ROWS($B$27:$B179))="","",INDEX(tbl_Ledger[Invoice Number],ROWS($B$27:$B179)))</f>
        <v>NHL-2026-0059</v>
      </c>
      <c r="E179" s="157" t="str" cm="1">
        <f t="array" ref="E179">INDEX(tbl_Ledger[Tax Category],ROWS($B$27:$B179))</f>
        <v>OUT_STD</v>
      </c>
      <c r="F179" s="157" t="str" cm="1">
        <f t="array" ref="F179">INDEX(tbl_Ledger[Direction],ROWS($B$27:$B179))</f>
        <v>Inflow</v>
      </c>
      <c r="G179" s="159" cm="1">
        <f t="array" ref="G179">INDEX(tbl_Ledger[Tax Charged on Invoice],ROWS($B$27:$B179))</f>
        <v>12714.2</v>
      </c>
      <c r="H179" s="159" cm="1">
        <f t="array" ref="H179">INDEX(tbl_Ledger[Expected Total Tax],ROWS($B$27:$B179))</f>
        <v>12714.199999999999</v>
      </c>
      <c r="I179" s="159" t="str" cm="1">
        <f t="array" ref="I179">INDEX(tbl_Ledger[Description],ROWS($B$27:$B179))</f>
        <v>Bulk haulage of LPG, Takoradi-Tamale, 7 trips</v>
      </c>
      <c r="J179" s="159" t="str" cm="1">
        <f t="array" ref="J179">INDEX(tbl_Ledger[Counterparty],ROWS($B$27:$B179))</f>
        <v>Obuasi Fuel Distributors Ltd</v>
      </c>
      <c r="K179" s="160" t="str">
        <f>IF(COUNTIF(Dup_Exclusions,$E179)&gt;0,"No","Yes")</f>
        <v>Yes</v>
      </c>
      <c r="L179" s="161" t="str">
        <f>IF(AND($D179="",COUNTIF(NoInv_Exempt,$E179)=0),"Yes","No")</f>
        <v>No</v>
      </c>
      <c r="M179" s="161" t="str" cm="1">
        <f t="array" ref="M179">IF(AND($D179&lt;&gt;"",$K179="Yes"),IF(SUMPRODUCT((tbl_Ledger[Invoice Number]=$D179)*(COUNTIF(Dup_Exclusions,tbl_Ledger[Tax Category])=0))&gt;1,"Yes","No"),"No")</f>
        <v>No</v>
      </c>
      <c r="N179" s="161" t="str">
        <f>IF(ABS($G179-$H179)&gt;Tax_Tolerance,"Yes","No")</f>
        <v>No</v>
      </c>
      <c r="O179" s="161" t="str">
        <f>IF(OR(AND($F179="Inflow",LEFT($E179,LEN(Prefix_Outflow))=Prefix_Outflow),AND($F179="Outflow",LEFT($E179,LEN(Prefix_Inflow))=Prefix_Inflow)),"Yes","No")</f>
        <v>No</v>
      </c>
      <c r="P179" s="161" t="str" cm="1">
        <f t="array" ref="P179">IF(AND(COUNTIF(Suspect_Categories,$E179)&gt;0,SUMPRODUCT(--ISNUMBER(SEARCH(Suspect_Keywords,$I179&amp;" "&amp;$J179)))&gt;0),"Yes","No")</f>
        <v>No</v>
      </c>
      <c r="Q179" s="161" t="str">
        <f t="shared" si="0"/>
        <v>No</v>
      </c>
    </row>
    <row r="180" spans="1:17" x14ac:dyDescent="0.3">
      <c r="A180" s="11"/>
      <c r="B180" s="157" cm="1">
        <f t="array" ref="B180">INDEX(tbl_Ledger[Row ID],ROWS($B$27:$B180))</f>
        <v>154</v>
      </c>
      <c r="C180" s="158" cm="1">
        <f t="array" ref="C180">INDEX(tbl_Ledger[Date],ROWS($B$27:$B180))</f>
        <v>46140</v>
      </c>
      <c r="D180" s="157" t="str" cm="1">
        <f t="array" ref="D180">IF(INDEX(tbl_Ledger[Invoice Number],ROWS($B$27:$B180))="","",INDEX(tbl_Ledger[Invoice Number],ROWS($B$27:$B180)))</f>
        <v>NHL-2026-0060</v>
      </c>
      <c r="E180" s="157" t="str" cm="1">
        <f t="array" ref="E180">INDEX(tbl_Ledger[Tax Category],ROWS($B$27:$B180))</f>
        <v>OUT_STD</v>
      </c>
      <c r="F180" s="157" t="str" cm="1">
        <f t="array" ref="F180">INDEX(tbl_Ledger[Direction],ROWS($B$27:$B180))</f>
        <v>Inflow</v>
      </c>
      <c r="G180" s="159" cm="1">
        <f t="array" ref="G180">INDEX(tbl_Ledger[Tax Charged on Invoice],ROWS($B$27:$B180))</f>
        <v>16868.8</v>
      </c>
      <c r="H180" s="159" cm="1">
        <f t="array" ref="H180">INDEX(tbl_Ledger[Expected Total Tax],ROWS($B$27:$B180))</f>
        <v>16868.8</v>
      </c>
      <c r="I180" s="159" t="str" cm="1">
        <f t="array" ref="I180">INDEX(tbl_Ledger[Description],ROWS($B$27:$B180))</f>
        <v>Bulk haulage of AGO, Kumasi-Sunyani, 4 trips</v>
      </c>
      <c r="J180" s="159" t="str" cm="1">
        <f t="array" ref="J180">INDEX(tbl_Ledger[Counterparty],ROWS($B$27:$B180))</f>
        <v>Akwaaba Petroleum Ltd</v>
      </c>
      <c r="K180" s="160" t="str">
        <f>IF(COUNTIF(Dup_Exclusions,$E180)&gt;0,"No","Yes")</f>
        <v>Yes</v>
      </c>
      <c r="L180" s="161" t="str">
        <f>IF(AND($D180="",COUNTIF(NoInv_Exempt,$E180)=0),"Yes","No")</f>
        <v>No</v>
      </c>
      <c r="M180" s="161" t="str" cm="1">
        <f t="array" ref="M180">IF(AND($D180&lt;&gt;"",$K180="Yes"),IF(SUMPRODUCT((tbl_Ledger[Invoice Number]=$D180)*(COUNTIF(Dup_Exclusions,tbl_Ledger[Tax Category])=0))&gt;1,"Yes","No"),"No")</f>
        <v>No</v>
      </c>
      <c r="N180" s="161" t="str">
        <f>IF(ABS($G180-$H180)&gt;Tax_Tolerance,"Yes","No")</f>
        <v>No</v>
      </c>
      <c r="O180" s="161" t="str">
        <f>IF(OR(AND($F180="Inflow",LEFT($E180,LEN(Prefix_Outflow))=Prefix_Outflow),AND($F180="Outflow",LEFT($E180,LEN(Prefix_Inflow))=Prefix_Inflow)),"Yes","No")</f>
        <v>No</v>
      </c>
      <c r="P180" s="161" t="str" cm="1">
        <f t="array" ref="P180">IF(AND(COUNTIF(Suspect_Categories,$E180)&gt;0,SUMPRODUCT(--ISNUMBER(SEARCH(Suspect_Keywords,$I180&amp;" "&amp;$J180)))&gt;0),"Yes","No")</f>
        <v>No</v>
      </c>
      <c r="Q180" s="161" t="str">
        <f t="shared" si="0"/>
        <v>No</v>
      </c>
    </row>
    <row r="181" spans="1:17" x14ac:dyDescent="0.3">
      <c r="A181" s="11"/>
      <c r="B181" s="157" cm="1">
        <f t="array" ref="B181">INDEX(tbl_Ledger[Row ID],ROWS($B$27:$B181))</f>
        <v>155</v>
      </c>
      <c r="C181" s="158" cm="1">
        <f t="array" ref="C181">INDEX(tbl_Ledger[Date],ROWS($B$27:$B181))</f>
        <v>46140</v>
      </c>
      <c r="D181" s="157" t="str" cm="1">
        <f t="array" ref="D181">IF(INDEX(tbl_Ledger[Invoice Number],ROWS($B$27:$B181))="","",INDEX(tbl_Ledger[Invoice Number],ROWS($B$27:$B181)))</f>
        <v>NHL-2026-0061</v>
      </c>
      <c r="E181" s="157" t="str" cm="1">
        <f t="array" ref="E181">INDEX(tbl_Ledger[Tax Category],ROWS($B$27:$B181))</f>
        <v>OUT_STD</v>
      </c>
      <c r="F181" s="157" t="str" cm="1">
        <f t="array" ref="F181">INDEX(tbl_Ledger[Direction],ROWS($B$27:$B181))</f>
        <v>Inflow</v>
      </c>
      <c r="G181" s="159" cm="1">
        <f t="array" ref="G181">INDEX(tbl_Ledger[Tax Charged on Invoice],ROWS($B$27:$B181))</f>
        <v>18531</v>
      </c>
      <c r="H181" s="159" cm="1">
        <f t="array" ref="H181">INDEX(tbl_Ledger[Expected Total Tax],ROWS($B$27:$B181))</f>
        <v>18531</v>
      </c>
      <c r="I181" s="159" t="str" cm="1">
        <f t="array" ref="I181">INDEX(tbl_Ledger[Description],ROWS($B$27:$B181))</f>
        <v>Bulk haulage of LPG, Kumasi-Sunyani, 5 trips</v>
      </c>
      <c r="J181" s="159" t="str" cm="1">
        <f t="array" ref="J181">INDEX(tbl_Ledger[Counterparty],ROWS($B$27:$B181))</f>
        <v>Akwaaba Petroleum Ltd</v>
      </c>
      <c r="K181" s="160" t="str">
        <f>IF(COUNTIF(Dup_Exclusions,$E181)&gt;0,"No","Yes")</f>
        <v>Yes</v>
      </c>
      <c r="L181" s="161" t="str">
        <f>IF(AND($D181="",COUNTIF(NoInv_Exempt,$E181)=0),"Yes","No")</f>
        <v>No</v>
      </c>
      <c r="M181" s="161" t="str" cm="1">
        <f t="array" ref="M181">IF(AND($D181&lt;&gt;"",$K181="Yes"),IF(SUMPRODUCT((tbl_Ledger[Invoice Number]=$D181)*(COUNTIF(Dup_Exclusions,tbl_Ledger[Tax Category])=0))&gt;1,"Yes","No"),"No")</f>
        <v>No</v>
      </c>
      <c r="N181" s="161" t="str">
        <f>IF(ABS($G181-$H181)&gt;Tax_Tolerance,"Yes","No")</f>
        <v>No</v>
      </c>
      <c r="O181" s="161" t="str">
        <f>IF(OR(AND($F181="Inflow",LEFT($E181,LEN(Prefix_Outflow))=Prefix_Outflow),AND($F181="Outflow",LEFT($E181,LEN(Prefix_Inflow))=Prefix_Inflow)),"Yes","No")</f>
        <v>No</v>
      </c>
      <c r="P181" s="161" t="str" cm="1">
        <f t="array" ref="P181">IF(AND(COUNTIF(Suspect_Categories,$E181)&gt;0,SUMPRODUCT(--ISNUMBER(SEARCH(Suspect_Keywords,$I181&amp;" "&amp;$J181)))&gt;0),"Yes","No")</f>
        <v>No</v>
      </c>
      <c r="Q181" s="161" t="str">
        <f t="shared" si="0"/>
        <v>No</v>
      </c>
    </row>
    <row r="182" spans="1:17" x14ac:dyDescent="0.3">
      <c r="A182" s="11"/>
      <c r="B182" s="157" cm="1">
        <f t="array" ref="B182">INDEX(tbl_Ledger[Row ID],ROWS($B$27:$B182))</f>
        <v>156</v>
      </c>
      <c r="C182" s="158" cm="1">
        <f t="array" ref="C182">INDEX(tbl_Ledger[Date],ROWS($B$27:$B182))</f>
        <v>46141</v>
      </c>
      <c r="D182" s="157" t="str" cm="1">
        <f t="array" ref="D182">IF(INDEX(tbl_Ledger[Invoice Number],ROWS($B$27:$B182))="","",INDEX(tbl_Ledger[Invoice Number],ROWS($B$27:$B182)))</f>
        <v>BNK-2026-0016</v>
      </c>
      <c r="E182" s="157" t="str" cm="1">
        <f t="array" ref="E182">INDEX(tbl_Ledger[Tax Category],ROWS($B$27:$B182))</f>
        <v>IN_EXEMPT</v>
      </c>
      <c r="F182" s="157" t="str" cm="1">
        <f t="array" ref="F182">INDEX(tbl_Ledger[Direction],ROWS($B$27:$B182))</f>
        <v>Outflow</v>
      </c>
      <c r="G182" s="159" cm="1">
        <f t="array" ref="G182">INDEX(tbl_Ledger[Tax Charged on Invoice],ROWS($B$27:$B182))</f>
        <v>0</v>
      </c>
      <c r="H182" s="159" cm="1">
        <f t="array" ref="H182">INDEX(tbl_Ledger[Expected Total Tax],ROWS($B$27:$B182))</f>
        <v>0</v>
      </c>
      <c r="I182" s="159" t="str" cm="1">
        <f t="array" ref="I182">INDEX(tbl_Ledger[Description],ROWS($B$27:$B182))</f>
        <v>Cheque book and facility fees</v>
      </c>
      <c r="J182" s="159" t="str" cm="1">
        <f t="array" ref="J182">INDEX(tbl_Ledger[Counterparty],ROWS($B$27:$B182))</f>
        <v>Trust Union Bank Ltd</v>
      </c>
      <c r="K182" s="160" t="str">
        <f>IF(COUNTIF(Dup_Exclusions,$E182)&gt;0,"No","Yes")</f>
        <v>Yes</v>
      </c>
      <c r="L182" s="161" t="str">
        <f>IF(AND($D182="",COUNTIF(NoInv_Exempt,$E182)=0),"Yes","No")</f>
        <v>No</v>
      </c>
      <c r="M182" s="161" t="str" cm="1">
        <f t="array" ref="M182">IF(AND($D182&lt;&gt;"",$K182="Yes"),IF(SUMPRODUCT((tbl_Ledger[Invoice Number]=$D182)*(COUNTIF(Dup_Exclusions,tbl_Ledger[Tax Category])=0))&gt;1,"Yes","No"),"No")</f>
        <v>No</v>
      </c>
      <c r="N182" s="161" t="str">
        <f>IF(ABS($G182-$H182)&gt;Tax_Tolerance,"Yes","No")</f>
        <v>No</v>
      </c>
      <c r="O182" s="161" t="str">
        <f>IF(OR(AND($F182="Inflow",LEFT($E182,LEN(Prefix_Outflow))=Prefix_Outflow),AND($F182="Outflow",LEFT($E182,LEN(Prefix_Inflow))=Prefix_Inflow)),"Yes","No")</f>
        <v>No</v>
      </c>
      <c r="P182" s="161" t="str" cm="1">
        <f t="array" ref="P182">IF(AND(COUNTIF(Suspect_Categories,$E182)&gt;0,SUMPRODUCT(--ISNUMBER(SEARCH(Suspect_Keywords,$I182&amp;" "&amp;$J182)))&gt;0),"Yes","No")</f>
        <v>No</v>
      </c>
      <c r="Q182" s="161" t="str">
        <f t="shared" si="0"/>
        <v>No</v>
      </c>
    </row>
    <row r="183" spans="1:17" x14ac:dyDescent="0.3">
      <c r="A183" s="11"/>
      <c r="B183" s="157" cm="1">
        <f t="array" ref="B183">INDEX(tbl_Ledger[Row ID],ROWS($B$27:$B183))</f>
        <v>157</v>
      </c>
      <c r="C183" s="158" cm="1">
        <f t="array" ref="C183">INDEX(tbl_Ledger[Date],ROWS($B$27:$B183))</f>
        <v>46141</v>
      </c>
      <c r="D183" s="157" t="str" cm="1">
        <f t="array" ref="D183">IF(INDEX(tbl_Ledger[Invoice Number],ROWS($B$27:$B183))="","",INDEX(tbl_Ledger[Invoice Number],ROWS($B$27:$B183)))</f>
        <v>SIN-2026-0061</v>
      </c>
      <c r="E183" s="157" t="str" cm="1">
        <f t="array" ref="E183">INDEX(tbl_Ledger[Tax Category],ROWS($B$27:$B183))</f>
        <v>IN_STD</v>
      </c>
      <c r="F183" s="157" t="str" cm="1">
        <f t="array" ref="F183">INDEX(tbl_Ledger[Direction],ROWS($B$27:$B183))</f>
        <v>Outflow</v>
      </c>
      <c r="G183" s="159" cm="1">
        <f t="array" ref="G183">INDEX(tbl_Ledger[Tax Charged on Invoice],ROWS($B$27:$B183))</f>
        <v>6252.2</v>
      </c>
      <c r="H183" s="159" cm="1">
        <f t="array" ref="H183">INDEX(tbl_Ledger[Expected Total Tax],ROWS($B$27:$B183))</f>
        <v>6252.1999999999989</v>
      </c>
      <c r="I183" s="159" t="str" cm="1">
        <f t="array" ref="I183">INDEX(tbl_Ledger[Description],ROWS($B$27:$B183))</f>
        <v>Replacement tyres for prime movers</v>
      </c>
      <c r="J183" s="159" t="str" cm="1">
        <f t="array" ref="J183">INDEX(tbl_Ledger[Counterparty],ROWS($B$27:$B183))</f>
        <v>Kumasi Tyre Centre Ltd</v>
      </c>
      <c r="K183" s="160" t="str">
        <f>IF(COUNTIF(Dup_Exclusions,$E183)&gt;0,"No","Yes")</f>
        <v>Yes</v>
      </c>
      <c r="L183" s="161" t="str">
        <f>IF(AND($D183="",COUNTIF(NoInv_Exempt,$E183)=0),"Yes","No")</f>
        <v>No</v>
      </c>
      <c r="M183" s="161" t="str" cm="1">
        <f t="array" ref="M183">IF(AND($D183&lt;&gt;"",$K183="Yes"),IF(SUMPRODUCT((tbl_Ledger[Invoice Number]=$D183)*(COUNTIF(Dup_Exclusions,tbl_Ledger[Tax Category])=0))&gt;1,"Yes","No"),"No")</f>
        <v>No</v>
      </c>
      <c r="N183" s="161" t="str">
        <f>IF(ABS($G183-$H183)&gt;Tax_Tolerance,"Yes","No")</f>
        <v>No</v>
      </c>
      <c r="O183" s="161" t="str">
        <f>IF(OR(AND($F183="Inflow",LEFT($E183,LEN(Prefix_Outflow))=Prefix_Outflow),AND($F183="Outflow",LEFT($E183,LEN(Prefix_Inflow))=Prefix_Inflow)),"Yes","No")</f>
        <v>No</v>
      </c>
      <c r="P183" s="161" t="str" cm="1">
        <f t="array" ref="P183">IF(AND(COUNTIF(Suspect_Categories,$E183)&gt;0,SUMPRODUCT(--ISNUMBER(SEARCH(Suspect_Keywords,$I183&amp;" "&amp;$J183)))&gt;0),"Yes","No")</f>
        <v>No</v>
      </c>
      <c r="Q183" s="161" t="str">
        <f t="shared" si="0"/>
        <v>No</v>
      </c>
    </row>
    <row r="184" spans="1:17" x14ac:dyDescent="0.3">
      <c r="A184" s="11"/>
      <c r="B184" s="157" cm="1">
        <f t="array" ref="B184">INDEX(tbl_Ledger[Row ID],ROWS($B$27:$B184))</f>
        <v>158</v>
      </c>
      <c r="C184" s="158" cm="1">
        <f t="array" ref="C184">INDEX(tbl_Ledger[Date],ROWS($B$27:$B184))</f>
        <v>46141</v>
      </c>
      <c r="D184" s="157" t="str" cm="1">
        <f t="array" ref="D184">IF(INDEX(tbl_Ledger[Invoice Number],ROWS($B$27:$B184))="","",INDEX(tbl_Ledger[Invoice Number],ROWS($B$27:$B184)))</f>
        <v>NHL-2026-0062</v>
      </c>
      <c r="E184" s="157" t="str" cm="1">
        <f t="array" ref="E184">INDEX(tbl_Ledger[Tax Category],ROWS($B$27:$B184))</f>
        <v>OUT_STD</v>
      </c>
      <c r="F184" s="157" t="str" cm="1">
        <f t="array" ref="F184">INDEX(tbl_Ledger[Direction],ROWS($B$27:$B184))</f>
        <v>Inflow</v>
      </c>
      <c r="G184" s="159" cm="1">
        <f t="array" ref="G184">INDEX(tbl_Ledger[Tax Charged on Invoice],ROWS($B$27:$B184))</f>
        <v>15430.4</v>
      </c>
      <c r="H184" s="159" cm="1">
        <f t="array" ref="H184">INDEX(tbl_Ledger[Expected Total Tax],ROWS($B$27:$B184))</f>
        <v>15430.399999999998</v>
      </c>
      <c r="I184" s="159" t="str" cm="1">
        <f t="array" ref="I184">INDEX(tbl_Ledger[Description],ROWS($B$27:$B184))</f>
        <v>Bulk haulage of ATK, Kumasi-Sunyani, 5 trips</v>
      </c>
      <c r="J184" s="159" t="str" cm="1">
        <f t="array" ref="J184">INDEX(tbl_Ledger[Counterparty],ROWS($B$27:$B184))</f>
        <v>Obuasi Fuel Distributors Ltd</v>
      </c>
      <c r="K184" s="160" t="str">
        <f>IF(COUNTIF(Dup_Exclusions,$E184)&gt;0,"No","Yes")</f>
        <v>Yes</v>
      </c>
      <c r="L184" s="161" t="str">
        <f>IF(AND($D184="",COUNTIF(NoInv_Exempt,$E184)=0),"Yes","No")</f>
        <v>No</v>
      </c>
      <c r="M184" s="161" t="str" cm="1">
        <f t="array" ref="M184">IF(AND($D184&lt;&gt;"",$K184="Yes"),IF(SUMPRODUCT((tbl_Ledger[Invoice Number]=$D184)*(COUNTIF(Dup_Exclusions,tbl_Ledger[Tax Category])=0))&gt;1,"Yes","No"),"No")</f>
        <v>No</v>
      </c>
      <c r="N184" s="161" t="str">
        <f>IF(ABS($G184-$H184)&gt;Tax_Tolerance,"Yes","No")</f>
        <v>No</v>
      </c>
      <c r="O184" s="161" t="str">
        <f>IF(OR(AND($F184="Inflow",LEFT($E184,LEN(Prefix_Outflow))=Prefix_Outflow),AND($F184="Outflow",LEFT($E184,LEN(Prefix_Inflow))=Prefix_Inflow)),"Yes","No")</f>
        <v>No</v>
      </c>
      <c r="P184" s="161" t="str" cm="1">
        <f t="array" ref="P184">IF(AND(COUNTIF(Suspect_Categories,$E184)&gt;0,SUMPRODUCT(--ISNUMBER(SEARCH(Suspect_Keywords,$I184&amp;" "&amp;$J184)))&gt;0),"Yes","No")</f>
        <v>No</v>
      </c>
      <c r="Q184" s="161" t="str">
        <f t="shared" si="0"/>
        <v>No</v>
      </c>
    </row>
    <row r="185" spans="1:17" x14ac:dyDescent="0.3">
      <c r="A185" s="11"/>
      <c r="B185" s="157" cm="1">
        <f t="array" ref="B185">INDEX(tbl_Ledger[Row ID],ROWS($B$27:$B185))</f>
        <v>159</v>
      </c>
      <c r="C185" s="158" cm="1">
        <f t="array" ref="C185">INDEX(tbl_Ledger[Date],ROWS($B$27:$B185))</f>
        <v>46142</v>
      </c>
      <c r="D185" s="157" t="str" cm="1">
        <f t="array" ref="D185">IF(INDEX(tbl_Ledger[Invoice Number],ROWS($B$27:$B185))="","",INDEX(tbl_Ledger[Invoice Number],ROWS($B$27:$B185)))</f>
        <v>SIN-2026-0062</v>
      </c>
      <c r="E185" s="157" t="str" cm="1">
        <f t="array" ref="E185">INDEX(tbl_Ledger[Tax Category],ROWS($B$27:$B185))</f>
        <v>IN_EXEMPT</v>
      </c>
      <c r="F185" s="157" t="str" cm="1">
        <f t="array" ref="F185">INDEX(tbl_Ledger[Direction],ROWS($B$27:$B185))</f>
        <v>Outflow</v>
      </c>
      <c r="G185" s="159" cm="1">
        <f t="array" ref="G185">INDEX(tbl_Ledger[Tax Charged on Invoice],ROWS($B$27:$B185))</f>
        <v>0</v>
      </c>
      <c r="H185" s="159" cm="1">
        <f t="array" ref="H185">INDEX(tbl_Ledger[Expected Total Tax],ROWS($B$27:$B185))</f>
        <v>0</v>
      </c>
      <c r="I185" s="159" t="str" cm="1">
        <f t="array" ref="I185">INDEX(tbl_Ledger[Description],ROWS($B$27:$B185))</f>
        <v>Goods-in-transit insurance premium</v>
      </c>
      <c r="J185" s="159" t="str" cm="1">
        <f t="array" ref="J185">INDEX(tbl_Ledger[Counterparty],ROWS($B$27:$B185))</f>
        <v>Pillar Insurance Ghana Ltd</v>
      </c>
      <c r="K185" s="160" t="str">
        <f>IF(COUNTIF(Dup_Exclusions,$E185)&gt;0,"No","Yes")</f>
        <v>Yes</v>
      </c>
      <c r="L185" s="161" t="str">
        <f>IF(AND($D185="",COUNTIF(NoInv_Exempt,$E185)=0),"Yes","No")</f>
        <v>No</v>
      </c>
      <c r="M185" s="161" t="str" cm="1">
        <f t="array" ref="M185">IF(AND($D185&lt;&gt;"",$K185="Yes"),IF(SUMPRODUCT((tbl_Ledger[Invoice Number]=$D185)*(COUNTIF(Dup_Exclusions,tbl_Ledger[Tax Category])=0))&gt;1,"Yes","No"),"No")</f>
        <v>No</v>
      </c>
      <c r="N185" s="161" t="str">
        <f>IF(ABS($G185-$H185)&gt;Tax_Tolerance,"Yes","No")</f>
        <v>No</v>
      </c>
      <c r="O185" s="161" t="str">
        <f>IF(OR(AND($F185="Inflow",LEFT($E185,LEN(Prefix_Outflow))=Prefix_Outflow),AND($F185="Outflow",LEFT($E185,LEN(Prefix_Inflow))=Prefix_Inflow)),"Yes","No")</f>
        <v>No</v>
      </c>
      <c r="P185" s="161" t="str" cm="1">
        <f t="array" ref="P185">IF(AND(COUNTIF(Suspect_Categories,$E185)&gt;0,SUMPRODUCT(--ISNUMBER(SEARCH(Suspect_Keywords,$I185&amp;" "&amp;$J185)))&gt;0),"Yes","No")</f>
        <v>No</v>
      </c>
      <c r="Q185" s="161" t="str">
        <f t="shared" si="0"/>
        <v>No</v>
      </c>
    </row>
    <row r="186" spans="1:17" x14ac:dyDescent="0.3">
      <c r="A186" s="11"/>
      <c r="B186" s="157" cm="1">
        <f t="array" ref="B186">INDEX(tbl_Ledger[Row ID],ROWS($B$27:$B186))</f>
        <v>160</v>
      </c>
      <c r="C186" s="158" cm="1">
        <f t="array" ref="C186">INDEX(tbl_Ledger[Date],ROWS($B$27:$B186))</f>
        <v>46142</v>
      </c>
      <c r="D186" s="157" t="str" cm="1">
        <f t="array" ref="D186">IF(INDEX(tbl_Ledger[Invoice Number],ROWS($B$27:$B186))="","",INDEX(tbl_Ledger[Invoice Number],ROWS($B$27:$B186)))</f>
        <v>PAY-2026-0004</v>
      </c>
      <c r="E186" s="157" t="str" cm="1">
        <f t="array" ref="E186">INDEX(tbl_Ledger[Tax Category],ROWS($B$27:$B186))</f>
        <v>NO_VAT</v>
      </c>
      <c r="F186" s="157" t="str" cm="1">
        <f t="array" ref="F186">INDEX(tbl_Ledger[Direction],ROWS($B$27:$B186))</f>
        <v>Outflow</v>
      </c>
      <c r="G186" s="159" cm="1">
        <f t="array" ref="G186">INDEX(tbl_Ledger[Tax Charged on Invoice],ROWS($B$27:$B186))</f>
        <v>0</v>
      </c>
      <c r="H186" s="159" cm="1">
        <f t="array" ref="H186">INDEX(tbl_Ledger[Expected Total Tax],ROWS($B$27:$B186))</f>
        <v>0</v>
      </c>
      <c r="I186" s="159" t="str" cm="1">
        <f t="array" ref="I186">INDEX(tbl_Ledger[Description],ROWS($B$27:$B186))</f>
        <v>Staff salaries and wages - April</v>
      </c>
      <c r="J186" s="159" t="str" cm="1">
        <f t="array" ref="J186">INDEX(tbl_Ledger[Counterparty],ROWS($B$27:$B186))</f>
        <v>Nkabom Haulage Payroll</v>
      </c>
      <c r="K186" s="160" t="str">
        <f>IF(COUNTIF(Dup_Exclusions,$E186)&gt;0,"No","Yes")</f>
        <v>Yes</v>
      </c>
      <c r="L186" s="161" t="str">
        <f>IF(AND($D186="",COUNTIF(NoInv_Exempt,$E186)=0),"Yes","No")</f>
        <v>No</v>
      </c>
      <c r="M186" s="161" t="str" cm="1">
        <f t="array" ref="M186">IF(AND($D186&lt;&gt;"",$K186="Yes"),IF(SUMPRODUCT((tbl_Ledger[Invoice Number]=$D186)*(COUNTIF(Dup_Exclusions,tbl_Ledger[Tax Category])=0))&gt;1,"Yes","No"),"No")</f>
        <v>No</v>
      </c>
      <c r="N186" s="161" t="str">
        <f>IF(ABS($G186-$H186)&gt;Tax_Tolerance,"Yes","No")</f>
        <v>No</v>
      </c>
      <c r="O186" s="161" t="str">
        <f>IF(OR(AND($F186="Inflow",LEFT($E186,LEN(Prefix_Outflow))=Prefix_Outflow),AND($F186="Outflow",LEFT($E186,LEN(Prefix_Inflow))=Prefix_Inflow)),"Yes","No")</f>
        <v>No</v>
      </c>
      <c r="P186" s="161" t="str" cm="1">
        <f t="array" ref="P186">IF(AND(COUNTIF(Suspect_Categories,$E186)&gt;0,SUMPRODUCT(--ISNUMBER(SEARCH(Suspect_Keywords,$I186&amp;" "&amp;$J186)))&gt;0),"Yes","No")</f>
        <v>No</v>
      </c>
      <c r="Q186" s="161" t="str">
        <f t="shared" si="0"/>
        <v>No</v>
      </c>
    </row>
    <row r="187" spans="1:17" x14ac:dyDescent="0.3">
      <c r="A187" s="11"/>
      <c r="B187" s="157" cm="1">
        <f t="array" ref="B187">INDEX(tbl_Ledger[Row ID],ROWS($B$27:$B187))</f>
        <v>161</v>
      </c>
      <c r="C187" s="158" cm="1">
        <f t="array" ref="C187">INDEX(tbl_Ledger[Date],ROWS($B$27:$B187))</f>
        <v>46142</v>
      </c>
      <c r="D187" s="157" t="str" cm="1">
        <f t="array" ref="D187">IF(INDEX(tbl_Ledger[Invoice Number],ROWS($B$27:$B187))="","",INDEX(tbl_Ledger[Invoice Number],ROWS($B$27:$B187)))</f>
        <v>NHL-2026-0063</v>
      </c>
      <c r="E187" s="157" t="str" cm="1">
        <f t="array" ref="E187">INDEX(tbl_Ledger[Tax Category],ROWS($B$27:$B187))</f>
        <v>WHT_SVC</v>
      </c>
      <c r="F187" s="157" t="str" cm="1">
        <f t="array" ref="F187">INDEX(tbl_Ledger[Direction],ROWS($B$27:$B187))</f>
        <v>Inflow</v>
      </c>
      <c r="G187" s="159" cm="1">
        <f t="array" ref="G187">INDEX(tbl_Ledger[Tax Charged on Invoice],ROWS($B$27:$B187))</f>
        <v>13862.2</v>
      </c>
      <c r="H187" s="159" cm="1">
        <f t="array" ref="H187">INDEX(tbl_Ledger[Expected Total Tax],ROWS($B$27:$B187))</f>
        <v>13862.199999999999</v>
      </c>
      <c r="I187" s="159" t="str" cm="1">
        <f t="array" ref="I187">INDEX(tbl_Ledger[Description],ROWS($B$27:$B187))</f>
        <v>Contract haulage of ATK, Tema-Kumasi; customer withheld income tax at 7.5% on the service fee</v>
      </c>
      <c r="J187" s="159" t="str" cm="1">
        <f t="array" ref="J187">INDEX(tbl_Ledger[Counterparty],ROWS($B$27:$B187))</f>
        <v>Tema Bulk Energy Ltd</v>
      </c>
      <c r="K187" s="160" t="str">
        <f>IF(COUNTIF(Dup_Exclusions,$E187)&gt;0,"No","Yes")</f>
        <v>Yes</v>
      </c>
      <c r="L187" s="161" t="str">
        <f>IF(AND($D187="",COUNTIF(NoInv_Exempt,$E187)=0),"Yes","No")</f>
        <v>No</v>
      </c>
      <c r="M187" s="161" t="str" cm="1">
        <f t="array" ref="M187">IF(AND($D187&lt;&gt;"",$K187="Yes"),IF(SUMPRODUCT((tbl_Ledger[Invoice Number]=$D187)*(COUNTIF(Dup_Exclusions,tbl_Ledger[Tax Category])=0))&gt;1,"Yes","No"),"No")</f>
        <v>No</v>
      </c>
      <c r="N187" s="161" t="str">
        <f>IF(ABS($G187-$H187)&gt;Tax_Tolerance,"Yes","No")</f>
        <v>No</v>
      </c>
      <c r="O187" s="161" t="str">
        <f>IF(OR(AND($F187="Inflow",LEFT($E187,LEN(Prefix_Outflow))=Prefix_Outflow),AND($F187="Outflow",LEFT($E187,LEN(Prefix_Inflow))=Prefix_Inflow)),"Yes","No")</f>
        <v>No</v>
      </c>
      <c r="P187" s="161" t="str" cm="1">
        <f t="array" ref="P187">IF(AND(COUNTIF(Suspect_Categories,$E187)&gt;0,SUMPRODUCT(--ISNUMBER(SEARCH(Suspect_Keywords,$I187&amp;" "&amp;$J187)))&gt;0),"Yes","No")</f>
        <v>No</v>
      </c>
      <c r="Q187" s="161" t="str">
        <f t="shared" si="0"/>
        <v>No</v>
      </c>
    </row>
    <row r="188" spans="1:17" x14ac:dyDescent="0.3">
      <c r="A188" s="11"/>
      <c r="B188" s="157" cm="1">
        <f t="array" ref="B188">INDEX(tbl_Ledger[Row ID],ROWS($B$27:$B188))</f>
        <v>162</v>
      </c>
      <c r="C188" s="158" cm="1">
        <f t="array" ref="C188">INDEX(tbl_Ledger[Date],ROWS($B$27:$B188))</f>
        <v>46143</v>
      </c>
      <c r="D188" s="157" t="str" cm="1">
        <f t="array" ref="D188">IF(INDEX(tbl_Ledger[Invoice Number],ROWS($B$27:$B188))="","",INDEX(tbl_Ledger[Invoice Number],ROWS($B$27:$B188)))</f>
        <v>SIN-2026-0063</v>
      </c>
      <c r="E188" s="157" t="str" cm="1">
        <f t="array" ref="E188">INDEX(tbl_Ledger[Tax Category],ROWS($B$27:$B188))</f>
        <v>IN_STD</v>
      </c>
      <c r="F188" s="157" t="str" cm="1">
        <f t="array" ref="F188">INDEX(tbl_Ledger[Direction],ROWS($B$27:$B188))</f>
        <v>Outflow</v>
      </c>
      <c r="G188" s="159" cm="1">
        <f t="array" ref="G188">INDEX(tbl_Ledger[Tax Charged on Invoice],ROWS($B$27:$B188))</f>
        <v>5538.4</v>
      </c>
      <c r="H188" s="159" cm="1">
        <f t="array" ref="H188">INDEX(tbl_Ledger[Expected Total Tax],ROWS($B$27:$B188))</f>
        <v>5538.4000000000005</v>
      </c>
      <c r="I188" s="159" t="str" cm="1">
        <f t="array" ref="I188">INDEX(tbl_Ledger[Description],ROWS($B$27:$B188))</f>
        <v>Fleet servicing and workshop labour</v>
      </c>
      <c r="J188" s="159" t="str" cm="1">
        <f t="array" ref="J188">INDEX(tbl_Ledger[Counterparty],ROWS($B$27:$B188))</f>
        <v>Greenfield IT Solutions Ltd</v>
      </c>
      <c r="K188" s="160" t="str">
        <f>IF(COUNTIF(Dup_Exclusions,$E188)&gt;0,"No","Yes")</f>
        <v>Yes</v>
      </c>
      <c r="L188" s="161" t="str">
        <f>IF(AND($D188="",COUNTIF(NoInv_Exempt,$E188)=0),"Yes","No")</f>
        <v>No</v>
      </c>
      <c r="M188" s="161" t="str" cm="1">
        <f t="array" ref="M188">IF(AND($D188&lt;&gt;"",$K188="Yes"),IF(SUMPRODUCT((tbl_Ledger[Invoice Number]=$D188)*(COUNTIF(Dup_Exclusions,tbl_Ledger[Tax Category])=0))&gt;1,"Yes","No"),"No")</f>
        <v>No</v>
      </c>
      <c r="N188" s="161" t="str">
        <f>IF(ABS($G188-$H188)&gt;Tax_Tolerance,"Yes","No")</f>
        <v>No</v>
      </c>
      <c r="O188" s="161" t="str">
        <f>IF(OR(AND($F188="Inflow",LEFT($E188,LEN(Prefix_Outflow))=Prefix_Outflow),AND($F188="Outflow",LEFT($E188,LEN(Prefix_Inflow))=Prefix_Inflow)),"Yes","No")</f>
        <v>No</v>
      </c>
      <c r="P188" s="161" t="str" cm="1">
        <f t="array" ref="P188">IF(AND(COUNTIF(Suspect_Categories,$E188)&gt;0,SUMPRODUCT(--ISNUMBER(SEARCH(Suspect_Keywords,$I188&amp;" "&amp;$J188)))&gt;0),"Yes","No")</f>
        <v>No</v>
      </c>
      <c r="Q188" s="161" t="str">
        <f t="shared" si="0"/>
        <v>No</v>
      </c>
    </row>
    <row r="189" spans="1:17" x14ac:dyDescent="0.3">
      <c r="A189" s="11"/>
      <c r="B189" s="157" cm="1">
        <f t="array" ref="B189">INDEX(tbl_Ledger[Row ID],ROWS($B$27:$B189))</f>
        <v>163</v>
      </c>
      <c r="C189" s="158" cm="1">
        <f t="array" ref="C189">INDEX(tbl_Ledger[Date],ROWS($B$27:$B189))</f>
        <v>46144</v>
      </c>
      <c r="D189" s="157" t="str" cm="1">
        <f t="array" ref="D189">IF(INDEX(tbl_Ledger[Invoice Number],ROWS($B$27:$B189))="","",INDEX(tbl_Ledger[Invoice Number],ROWS($B$27:$B189)))</f>
        <v>SIN-2026-0064</v>
      </c>
      <c r="E189" s="157" t="str" cm="1">
        <f t="array" ref="E189">INDEX(tbl_Ledger[Tax Category],ROWS($B$27:$B189))</f>
        <v>IN_STD</v>
      </c>
      <c r="F189" s="157" t="str" cm="1">
        <f t="array" ref="F189">INDEX(tbl_Ledger[Direction],ROWS($B$27:$B189))</f>
        <v>Outflow</v>
      </c>
      <c r="G189" s="159" cm="1">
        <f t="array" ref="G189">INDEX(tbl_Ledger[Tax Charged on Invoice],ROWS($B$27:$B189))</f>
        <v>1536.2</v>
      </c>
      <c r="H189" s="159" cm="1">
        <f t="array" ref="H189">INDEX(tbl_Ledger[Expected Total Tax],ROWS($B$27:$B189))</f>
        <v>1536.2</v>
      </c>
      <c r="I189" s="159" t="str" cm="1">
        <f t="array" ref="I189">INDEX(tbl_Ledger[Description],ROWS($B$27:$B189))</f>
        <v>Depot security services</v>
      </c>
      <c r="J189" s="159" t="str" cm="1">
        <f t="array" ref="J189">INDEX(tbl_Ledger[Counterparty],ROWS($B$27:$B189))</f>
        <v>Castle Security Services Ltd</v>
      </c>
      <c r="K189" s="160" t="str">
        <f>IF(COUNTIF(Dup_Exclusions,$E189)&gt;0,"No","Yes")</f>
        <v>Yes</v>
      </c>
      <c r="L189" s="161" t="str">
        <f>IF(AND($D189="",COUNTIF(NoInv_Exempt,$E189)=0),"Yes","No")</f>
        <v>No</v>
      </c>
      <c r="M189" s="161" t="str" cm="1">
        <f t="array" ref="M189">IF(AND($D189&lt;&gt;"",$K189="Yes"),IF(SUMPRODUCT((tbl_Ledger[Invoice Number]=$D189)*(COUNTIF(Dup_Exclusions,tbl_Ledger[Tax Category])=0))&gt;1,"Yes","No"),"No")</f>
        <v>No</v>
      </c>
      <c r="N189" s="161" t="str">
        <f>IF(ABS($G189-$H189)&gt;Tax_Tolerance,"Yes","No")</f>
        <v>No</v>
      </c>
      <c r="O189" s="161" t="str">
        <f>IF(OR(AND($F189="Inflow",LEFT($E189,LEN(Prefix_Outflow))=Prefix_Outflow),AND($F189="Outflow",LEFT($E189,LEN(Prefix_Inflow))=Prefix_Inflow)),"Yes","No")</f>
        <v>No</v>
      </c>
      <c r="P189" s="161" t="str" cm="1">
        <f t="array" ref="P189">IF(AND(COUNTIF(Suspect_Categories,$E189)&gt;0,SUMPRODUCT(--ISNUMBER(SEARCH(Suspect_Keywords,$I189&amp;" "&amp;$J189)))&gt;0),"Yes","No")</f>
        <v>No</v>
      </c>
      <c r="Q189" s="161" t="str">
        <f t="shared" si="0"/>
        <v>No</v>
      </c>
    </row>
    <row r="190" spans="1:17" x14ac:dyDescent="0.3">
      <c r="A190" s="11"/>
      <c r="B190" s="157" cm="1">
        <f t="array" ref="B190">INDEX(tbl_Ledger[Row ID],ROWS($B$27:$B190))</f>
        <v>164</v>
      </c>
      <c r="C190" s="158" cm="1">
        <f t="array" ref="C190">INDEX(tbl_Ledger[Date],ROWS($B$27:$B190))</f>
        <v>46144</v>
      </c>
      <c r="D190" s="157" t="str" cm="1">
        <f t="array" ref="D190">IF(INDEX(tbl_Ledger[Invoice Number],ROWS($B$27:$B190))="","",INDEX(tbl_Ledger[Invoice Number],ROWS($B$27:$B190)))</f>
        <v>NHL-2026-0064</v>
      </c>
      <c r="E190" s="157" t="str" cm="1">
        <f t="array" ref="E190">INDEX(tbl_Ledger[Tax Category],ROWS($B$27:$B190))</f>
        <v>WHT_SVC</v>
      </c>
      <c r="F190" s="157" t="str" cm="1">
        <f t="array" ref="F190">INDEX(tbl_Ledger[Direction],ROWS($B$27:$B190))</f>
        <v>Inflow</v>
      </c>
      <c r="G190" s="159" cm="1">
        <f t="array" ref="G190">INDEX(tbl_Ledger[Tax Charged on Invoice],ROWS($B$27:$B190))</f>
        <v>10695</v>
      </c>
      <c r="H190" s="159" cm="1">
        <f t="array" ref="H190">INDEX(tbl_Ledger[Expected Total Tax],ROWS($B$27:$B190))</f>
        <v>10695</v>
      </c>
      <c r="I190" s="159" t="str" cm="1">
        <f t="array" ref="I190">INDEX(tbl_Ledger[Description],ROWS($B$27:$B190))</f>
        <v>Contract haulage of PMS, Tema-Bolgatanga; customer withheld income tax at 7.5% on the service fee</v>
      </c>
      <c r="J190" s="159" t="str" cm="1">
        <f t="array" ref="J190">INDEX(tbl_Ledger[Counterparty],ROWS($B$27:$B190))</f>
        <v>Adinkra Oil Marketing Ltd</v>
      </c>
      <c r="K190" s="160" t="str">
        <f>IF(COUNTIF(Dup_Exclusions,$E190)&gt;0,"No","Yes")</f>
        <v>Yes</v>
      </c>
      <c r="L190" s="161" t="str">
        <f>IF(AND($D190="",COUNTIF(NoInv_Exempt,$E190)=0),"Yes","No")</f>
        <v>No</v>
      </c>
      <c r="M190" s="161" t="str" cm="1">
        <f t="array" ref="M190">IF(AND($D190&lt;&gt;"",$K190="Yes"),IF(SUMPRODUCT((tbl_Ledger[Invoice Number]=$D190)*(COUNTIF(Dup_Exclusions,tbl_Ledger[Tax Category])=0))&gt;1,"Yes","No"),"No")</f>
        <v>No</v>
      </c>
      <c r="N190" s="161" t="str">
        <f>IF(ABS($G190-$H190)&gt;Tax_Tolerance,"Yes","No")</f>
        <v>No</v>
      </c>
      <c r="O190" s="161" t="str">
        <f>IF(OR(AND($F190="Inflow",LEFT($E190,LEN(Prefix_Outflow))=Prefix_Outflow),AND($F190="Outflow",LEFT($E190,LEN(Prefix_Inflow))=Prefix_Inflow)),"Yes","No")</f>
        <v>No</v>
      </c>
      <c r="P190" s="161" t="str" cm="1">
        <f t="array" ref="P190">IF(AND(COUNTIF(Suspect_Categories,$E190)&gt;0,SUMPRODUCT(--ISNUMBER(SEARCH(Suspect_Keywords,$I190&amp;" "&amp;$J190)))&gt;0),"Yes","No")</f>
        <v>No</v>
      </c>
      <c r="Q190" s="161" t="str">
        <f t="shared" si="0"/>
        <v>No</v>
      </c>
    </row>
    <row r="191" spans="1:17" x14ac:dyDescent="0.3">
      <c r="A191" s="11"/>
      <c r="B191" s="157" cm="1">
        <f t="array" ref="B191">INDEX(tbl_Ledger[Row ID],ROWS($B$27:$B191))</f>
        <v>165</v>
      </c>
      <c r="C191" s="158" cm="1">
        <f t="array" ref="C191">INDEX(tbl_Ledger[Date],ROWS($B$27:$B191))</f>
        <v>46146</v>
      </c>
      <c r="D191" s="157" t="str" cm="1">
        <f t="array" ref="D191">IF(INDEX(tbl_Ledger[Invoice Number],ROWS($B$27:$B191))="","",INDEX(tbl_Ledger[Invoice Number],ROWS($B$27:$B191)))</f>
        <v>SIN-2026-0065</v>
      </c>
      <c r="E191" s="157" t="str" cm="1">
        <f t="array" ref="E191">INDEX(tbl_Ledger[Tax Category],ROWS($B$27:$B191))</f>
        <v>IN_EXEMPT</v>
      </c>
      <c r="F191" s="157" t="str" cm="1">
        <f t="array" ref="F191">INDEX(tbl_Ledger[Direction],ROWS($B$27:$B191))</f>
        <v>Outflow</v>
      </c>
      <c r="G191" s="159" cm="1">
        <f t="array" ref="G191">INDEX(tbl_Ledger[Tax Charged on Invoice],ROWS($B$27:$B191))</f>
        <v>0</v>
      </c>
      <c r="H191" s="159" cm="1">
        <f t="array" ref="H191">INDEX(tbl_Ledger[Expected Total Tax],ROWS($B$27:$B191))</f>
        <v>0</v>
      </c>
      <c r="I191" s="159" t="str" cm="1">
        <f t="array" ref="I191">INDEX(tbl_Ledger[Description],ROWS($B$27:$B191))</f>
        <v>Diesel (AGO) purchased for own fleet use, 17,309 litres</v>
      </c>
      <c r="J191" s="159" t="str" cm="1">
        <f t="array" ref="J191">INDEX(tbl_Ledger[Counterparty],ROWS($B$27:$B191))</f>
        <v>Zenith Fuel Depot Ltd</v>
      </c>
      <c r="K191" s="160" t="str">
        <f>IF(COUNTIF(Dup_Exclusions,$E191)&gt;0,"No","Yes")</f>
        <v>Yes</v>
      </c>
      <c r="L191" s="161" t="str">
        <f>IF(AND($D191="",COUNTIF(NoInv_Exempt,$E191)=0),"Yes","No")</f>
        <v>No</v>
      </c>
      <c r="M191" s="161" t="str" cm="1">
        <f t="array" ref="M191">IF(AND($D191&lt;&gt;"",$K191="Yes"),IF(SUMPRODUCT((tbl_Ledger[Invoice Number]=$D191)*(COUNTIF(Dup_Exclusions,tbl_Ledger[Tax Category])=0))&gt;1,"Yes","No"),"No")</f>
        <v>No</v>
      </c>
      <c r="N191" s="161" t="str">
        <f>IF(ABS($G191-$H191)&gt;Tax_Tolerance,"Yes","No")</f>
        <v>No</v>
      </c>
      <c r="O191" s="161" t="str">
        <f>IF(OR(AND($F191="Inflow",LEFT($E191,LEN(Prefix_Outflow))=Prefix_Outflow),AND($F191="Outflow",LEFT($E191,LEN(Prefix_Inflow))=Prefix_Inflow)),"Yes","No")</f>
        <v>No</v>
      </c>
      <c r="P191" s="161" t="str" cm="1">
        <f t="array" ref="P191">IF(AND(COUNTIF(Suspect_Categories,$E191)&gt;0,SUMPRODUCT(--ISNUMBER(SEARCH(Suspect_Keywords,$I191&amp;" "&amp;$J191)))&gt;0),"Yes","No")</f>
        <v>No</v>
      </c>
      <c r="Q191" s="161" t="str">
        <f t="shared" si="0"/>
        <v>No</v>
      </c>
    </row>
    <row r="192" spans="1:17" x14ac:dyDescent="0.3">
      <c r="A192" s="11"/>
      <c r="B192" s="157" cm="1">
        <f t="array" ref="B192">INDEX(tbl_Ledger[Row ID],ROWS($B$27:$B192))</f>
        <v>166</v>
      </c>
      <c r="C192" s="158" cm="1">
        <f t="array" ref="C192">INDEX(tbl_Ledger[Date],ROWS($B$27:$B192))</f>
        <v>46147</v>
      </c>
      <c r="D192" s="157" t="str" cm="1">
        <f t="array" ref="D192">IF(INDEX(tbl_Ledger[Invoice Number],ROWS($B$27:$B192))="","",INDEX(tbl_Ledger[Invoice Number],ROWS($B$27:$B192)))</f>
        <v>NHL-2026-0065</v>
      </c>
      <c r="E192" s="157" t="str" cm="1">
        <f t="array" ref="E192">INDEX(tbl_Ledger[Tax Category],ROWS($B$27:$B192))</f>
        <v>WHT_SVC</v>
      </c>
      <c r="F192" s="157" t="str" cm="1">
        <f t="array" ref="F192">INDEX(tbl_Ledger[Direction],ROWS($B$27:$B192))</f>
        <v>Inflow</v>
      </c>
      <c r="G192" s="159" cm="1">
        <f t="array" ref="G192">INDEX(tbl_Ledger[Tax Charged on Invoice],ROWS($B$27:$B192))</f>
        <v>12588.8</v>
      </c>
      <c r="H192" s="159" cm="1">
        <f t="array" ref="H192">INDEX(tbl_Ledger[Expected Total Tax],ROWS($B$27:$B192))</f>
        <v>12588.800000000001</v>
      </c>
      <c r="I192" s="159" t="str" cm="1">
        <f t="array" ref="I192">INDEX(tbl_Ledger[Description],ROWS($B$27:$B192))</f>
        <v>Contract haulage of PMS, Takoradi-Wa; customer withheld income tax at 7.5% on the service fee</v>
      </c>
      <c r="J192" s="159" t="str" cm="1">
        <f t="array" ref="J192">INDEX(tbl_Ledger[Counterparty],ROWS($B$27:$B192))</f>
        <v>Northern Star BDC Ltd</v>
      </c>
      <c r="K192" s="160" t="str">
        <f>IF(COUNTIF(Dup_Exclusions,$E192)&gt;0,"No","Yes")</f>
        <v>Yes</v>
      </c>
      <c r="L192" s="161" t="str">
        <f>IF(AND($D192="",COUNTIF(NoInv_Exempt,$E192)=0),"Yes","No")</f>
        <v>No</v>
      </c>
      <c r="M192" s="161" t="str" cm="1">
        <f t="array" ref="M192">IF(AND($D192&lt;&gt;"",$K192="Yes"),IF(SUMPRODUCT((tbl_Ledger[Invoice Number]=$D192)*(COUNTIF(Dup_Exclusions,tbl_Ledger[Tax Category])=0))&gt;1,"Yes","No"),"No")</f>
        <v>No</v>
      </c>
      <c r="N192" s="161" t="str">
        <f>IF(ABS($G192-$H192)&gt;Tax_Tolerance,"Yes","No")</f>
        <v>No</v>
      </c>
      <c r="O192" s="161" t="str">
        <f>IF(OR(AND($F192="Inflow",LEFT($E192,LEN(Prefix_Outflow))=Prefix_Outflow),AND($F192="Outflow",LEFT($E192,LEN(Prefix_Inflow))=Prefix_Inflow)),"Yes","No")</f>
        <v>No</v>
      </c>
      <c r="P192" s="161" t="str" cm="1">
        <f t="array" ref="P192">IF(AND(COUNTIF(Suspect_Categories,$E192)&gt;0,SUMPRODUCT(--ISNUMBER(SEARCH(Suspect_Keywords,$I192&amp;" "&amp;$J192)))&gt;0),"Yes","No")</f>
        <v>No</v>
      </c>
      <c r="Q192" s="161" t="str">
        <f t="shared" si="0"/>
        <v>No</v>
      </c>
    </row>
    <row r="193" spans="1:17" x14ac:dyDescent="0.3">
      <c r="A193" s="11"/>
      <c r="B193" s="157" cm="1">
        <f t="array" ref="B193">INDEX(tbl_Ledger[Row ID],ROWS($B$27:$B193))</f>
        <v>167</v>
      </c>
      <c r="C193" s="158" cm="1">
        <f t="array" ref="C193">INDEX(tbl_Ledger[Date],ROWS($B$27:$B193))</f>
        <v>46148</v>
      </c>
      <c r="D193" s="157" t="str" cm="1">
        <f t="array" ref="D193">IF(INDEX(tbl_Ledger[Invoice Number],ROWS($B$27:$B193))="","",INDEX(tbl_Ledger[Invoice Number],ROWS($B$27:$B193)))</f>
        <v>JNL-2026-0005</v>
      </c>
      <c r="E193" s="157" t="str" cm="1">
        <f t="array" ref="E193">INDEX(tbl_Ledger[Tax Category],ROWS($B$27:$B193))</f>
        <v>NO_VAT</v>
      </c>
      <c r="F193" s="157" t="str" cm="1">
        <f t="array" ref="F193">INDEX(tbl_Ledger[Direction],ROWS($B$27:$B193))</f>
        <v>Outflow</v>
      </c>
      <c r="G193" s="159" cm="1">
        <f t="array" ref="G193">INDEX(tbl_Ledger[Tax Charged on Invoice],ROWS($B$27:$B193))</f>
        <v>0</v>
      </c>
      <c r="H193" s="159" cm="1">
        <f t="array" ref="H193">INDEX(tbl_Ledger[Expected Total Tax],ROWS($B$27:$B193))</f>
        <v>0</v>
      </c>
      <c r="I193" s="159" t="str" cm="1">
        <f t="array" ref="I193">INDEX(tbl_Ledger[Description],ROWS($B$27:$B193))</f>
        <v>Withholding tax remitted to GRA</v>
      </c>
      <c r="J193" s="159" t="str" cm="1">
        <f t="array" ref="J193">INDEX(tbl_Ledger[Counterparty],ROWS($B$27:$B193))</f>
        <v>Nkabom Haulage Ltd - Reserve Account</v>
      </c>
      <c r="K193" s="160" t="str">
        <f>IF(COUNTIF(Dup_Exclusions,$E193)&gt;0,"No","Yes")</f>
        <v>Yes</v>
      </c>
      <c r="L193" s="161" t="str">
        <f>IF(AND($D193="",COUNTIF(NoInv_Exempt,$E193)=0),"Yes","No")</f>
        <v>No</v>
      </c>
      <c r="M193" s="161" t="str" cm="1">
        <f t="array" ref="M193">IF(AND($D193&lt;&gt;"",$K193="Yes"),IF(SUMPRODUCT((tbl_Ledger[Invoice Number]=$D193)*(COUNTIF(Dup_Exclusions,tbl_Ledger[Tax Category])=0))&gt;1,"Yes","No"),"No")</f>
        <v>No</v>
      </c>
      <c r="N193" s="161" t="str">
        <f>IF(ABS($G193-$H193)&gt;Tax_Tolerance,"Yes","No")</f>
        <v>No</v>
      </c>
      <c r="O193" s="161" t="str">
        <f>IF(OR(AND($F193="Inflow",LEFT($E193,LEN(Prefix_Outflow))=Prefix_Outflow),AND($F193="Outflow",LEFT($E193,LEN(Prefix_Inflow))=Prefix_Inflow)),"Yes","No")</f>
        <v>No</v>
      </c>
      <c r="P193" s="161" t="str" cm="1">
        <f t="array" ref="P193">IF(AND(COUNTIF(Suspect_Categories,$E193)&gt;0,SUMPRODUCT(--ISNUMBER(SEARCH(Suspect_Keywords,$I193&amp;" "&amp;$J193)))&gt;0),"Yes","No")</f>
        <v>No</v>
      </c>
      <c r="Q193" s="161" t="str">
        <f t="shared" si="0"/>
        <v>No</v>
      </c>
    </row>
    <row r="194" spans="1:17" x14ac:dyDescent="0.3">
      <c r="A194" s="11"/>
      <c r="B194" s="157" cm="1">
        <f t="array" ref="B194">INDEX(tbl_Ledger[Row ID],ROWS($B$27:$B194))</f>
        <v>168</v>
      </c>
      <c r="C194" s="158" cm="1">
        <f t="array" ref="C194">INDEX(tbl_Ledger[Date],ROWS($B$27:$B194))</f>
        <v>46150</v>
      </c>
      <c r="D194" s="157" t="str" cm="1">
        <f t="array" ref="D194">IF(INDEX(tbl_Ledger[Invoice Number],ROWS($B$27:$B194))="","",INDEX(tbl_Ledger[Invoice Number],ROWS($B$27:$B194)))</f>
        <v>SIN-2026-0066</v>
      </c>
      <c r="E194" s="157" t="str" cm="1">
        <f t="array" ref="E194">INDEX(tbl_Ledger[Tax Category],ROWS($B$27:$B194))</f>
        <v>IN_STD</v>
      </c>
      <c r="F194" s="157" t="str" cm="1">
        <f t="array" ref="F194">INDEX(tbl_Ledger[Direction],ROWS($B$27:$B194))</f>
        <v>Outflow</v>
      </c>
      <c r="G194" s="159" cm="1">
        <f t="array" ref="G194">INDEX(tbl_Ledger[Tax Charged on Invoice],ROWS($B$27:$B194))</f>
        <v>3298.8</v>
      </c>
      <c r="H194" s="159" cm="1">
        <f t="array" ref="H194">INDEX(tbl_Ledger[Expected Total Tax],ROWS($B$27:$B194))</f>
        <v>3298.7999999999997</v>
      </c>
      <c r="I194" s="159" t="str" cm="1">
        <f t="array" ref="I194">INDEX(tbl_Ledger[Description],ROWS($B$27:$B194))</f>
        <v>Fleet servicing and workshop labour</v>
      </c>
      <c r="J194" s="159" t="str" cm="1">
        <f t="array" ref="J194">INDEX(tbl_Ledger[Counterparty],ROWS($B$27:$B194))</f>
        <v>Adom Telecom Ghana Ltd</v>
      </c>
      <c r="K194" s="160" t="str">
        <f>IF(COUNTIF(Dup_Exclusions,$E194)&gt;0,"No","Yes")</f>
        <v>Yes</v>
      </c>
      <c r="L194" s="161" t="str">
        <f>IF(AND($D194="",COUNTIF(NoInv_Exempt,$E194)=0),"Yes","No")</f>
        <v>No</v>
      </c>
      <c r="M194" s="161" t="str" cm="1">
        <f t="array" ref="M194">IF(AND($D194&lt;&gt;"",$K194="Yes"),IF(SUMPRODUCT((tbl_Ledger[Invoice Number]=$D194)*(COUNTIF(Dup_Exclusions,tbl_Ledger[Tax Category])=0))&gt;1,"Yes","No"),"No")</f>
        <v>No</v>
      </c>
      <c r="N194" s="161" t="str">
        <f>IF(ABS($G194-$H194)&gt;Tax_Tolerance,"Yes","No")</f>
        <v>No</v>
      </c>
      <c r="O194" s="161" t="str">
        <f>IF(OR(AND($F194="Inflow",LEFT($E194,LEN(Prefix_Outflow))=Prefix_Outflow),AND($F194="Outflow",LEFT($E194,LEN(Prefix_Inflow))=Prefix_Inflow)),"Yes","No")</f>
        <v>No</v>
      </c>
      <c r="P194" s="161" t="str" cm="1">
        <f t="array" ref="P194">IF(AND(COUNTIF(Suspect_Categories,$E194)&gt;0,SUMPRODUCT(--ISNUMBER(SEARCH(Suspect_Keywords,$I194&amp;" "&amp;$J194)))&gt;0),"Yes","No")</f>
        <v>No</v>
      </c>
      <c r="Q194" s="161" t="str">
        <f t="shared" si="0"/>
        <v>No</v>
      </c>
    </row>
    <row r="195" spans="1:17" x14ac:dyDescent="0.3">
      <c r="A195" s="11"/>
      <c r="B195" s="157" cm="1">
        <f t="array" ref="B195">INDEX(tbl_Ledger[Row ID],ROWS($B$27:$B195))</f>
        <v>169</v>
      </c>
      <c r="C195" s="158" cm="1">
        <f t="array" ref="C195">INDEX(tbl_Ledger[Date],ROWS($B$27:$B195))</f>
        <v>46152</v>
      </c>
      <c r="D195" s="157" t="str" cm="1">
        <f t="array" ref="D195">IF(INDEX(tbl_Ledger[Invoice Number],ROWS($B$27:$B195))="","",INDEX(tbl_Ledger[Invoice Number],ROWS($B$27:$B195)))</f>
        <v>SIN-2026-0067</v>
      </c>
      <c r="E195" s="157" t="str" cm="1">
        <f t="array" ref="E195">INDEX(tbl_Ledger[Tax Category],ROWS($B$27:$B195))</f>
        <v>IN_NONDED</v>
      </c>
      <c r="F195" s="157" t="str" cm="1">
        <f t="array" ref="F195">INDEX(tbl_Ledger[Direction],ROWS($B$27:$B195))</f>
        <v>Outflow</v>
      </c>
      <c r="G195" s="159" cm="1">
        <f t="array" ref="G195">INDEX(tbl_Ledger[Tax Charged on Invoice],ROWS($B$27:$B195))</f>
        <v>1631</v>
      </c>
      <c r="H195" s="159" cm="1">
        <f t="array" ref="H195">INDEX(tbl_Ledger[Expected Total Tax],ROWS($B$27:$B195))</f>
        <v>1631</v>
      </c>
      <c r="I195" s="159" t="str" cm="1">
        <f t="array" ref="I195">INDEX(tbl_Ledger[Description],ROWS($B$27:$B195))</f>
        <v>Staff hospitality and refreshments</v>
      </c>
      <c r="J195" s="159" t="str" cm="1">
        <f t="array" ref="J195">INDEX(tbl_Ledger[Counterparty],ROWS($B$27:$B195))</f>
        <v>Labadi Grill House Ltd</v>
      </c>
      <c r="K195" s="160" t="str">
        <f>IF(COUNTIF(Dup_Exclusions,$E195)&gt;0,"No","Yes")</f>
        <v>Yes</v>
      </c>
      <c r="L195" s="161" t="str">
        <f>IF(AND($D195="",COUNTIF(NoInv_Exempt,$E195)=0),"Yes","No")</f>
        <v>No</v>
      </c>
      <c r="M195" s="161" t="str" cm="1">
        <f t="array" ref="M195">IF(AND($D195&lt;&gt;"",$K195="Yes"),IF(SUMPRODUCT((tbl_Ledger[Invoice Number]=$D195)*(COUNTIF(Dup_Exclusions,tbl_Ledger[Tax Category])=0))&gt;1,"Yes","No"),"No")</f>
        <v>No</v>
      </c>
      <c r="N195" s="161" t="str">
        <f>IF(ABS($G195-$H195)&gt;Tax_Tolerance,"Yes","No")</f>
        <v>No</v>
      </c>
      <c r="O195" s="161" t="str">
        <f>IF(OR(AND($F195="Inflow",LEFT($E195,LEN(Prefix_Outflow))=Prefix_Outflow),AND($F195="Outflow",LEFT($E195,LEN(Prefix_Inflow))=Prefix_Inflow)),"Yes","No")</f>
        <v>No</v>
      </c>
      <c r="P195" s="161" t="str" cm="1">
        <f t="array" ref="P195">IF(AND(COUNTIF(Suspect_Categories,$E195)&gt;0,SUMPRODUCT(--ISNUMBER(SEARCH(Suspect_Keywords,$I195&amp;" "&amp;$J195)))&gt;0),"Yes","No")</f>
        <v>No</v>
      </c>
      <c r="Q195" s="161" t="str">
        <f t="shared" si="0"/>
        <v>No</v>
      </c>
    </row>
    <row r="196" spans="1:17" x14ac:dyDescent="0.3">
      <c r="A196" s="11"/>
      <c r="B196" s="157" cm="1">
        <f t="array" ref="B196">INDEX(tbl_Ledger[Row ID],ROWS($B$27:$B196))</f>
        <v>170</v>
      </c>
      <c r="C196" s="158" cm="1">
        <f t="array" ref="C196">INDEX(tbl_Ledger[Date],ROWS($B$27:$B196))</f>
        <v>46152</v>
      </c>
      <c r="D196" s="157" t="str" cm="1">
        <f t="array" ref="D196">IF(INDEX(tbl_Ledger[Invoice Number],ROWS($B$27:$B196))="","",INDEX(tbl_Ledger[Invoice Number],ROWS($B$27:$B196)))</f>
        <v>GRA-2026-0009</v>
      </c>
      <c r="E196" s="157" t="str" cm="1">
        <f t="array" ref="E196">INDEX(tbl_Ledger[Tax Category],ROWS($B$27:$B196))</f>
        <v>NO_VAT</v>
      </c>
      <c r="F196" s="157" t="str" cm="1">
        <f t="array" ref="F196">INDEX(tbl_Ledger[Direction],ROWS($B$27:$B196))</f>
        <v>Outflow</v>
      </c>
      <c r="G196" s="159" cm="1">
        <f t="array" ref="G196">INDEX(tbl_Ledger[Tax Charged on Invoice],ROWS($B$27:$B196))</f>
        <v>0</v>
      </c>
      <c r="H196" s="159" cm="1">
        <f t="array" ref="H196">INDEX(tbl_Ledger[Expected Total Tax],ROWS($B$27:$B196))</f>
        <v>0</v>
      </c>
      <c r="I196" s="159" t="str" cm="1">
        <f t="array" ref="I196">INDEX(tbl_Ledger[Description],ROWS($B$27:$B196))</f>
        <v>PAYE and SSNIT contributions - May</v>
      </c>
      <c r="J196" s="159" t="str" cm="1">
        <f t="array" ref="J196">INDEX(tbl_Ledger[Counterparty],ROWS($B$27:$B196))</f>
        <v>Ghana Revenue Authority</v>
      </c>
      <c r="K196" s="160" t="str">
        <f>IF(COUNTIF(Dup_Exclusions,$E196)&gt;0,"No","Yes")</f>
        <v>Yes</v>
      </c>
      <c r="L196" s="161" t="str">
        <f>IF(AND($D196="",COUNTIF(NoInv_Exempt,$E196)=0),"Yes","No")</f>
        <v>No</v>
      </c>
      <c r="M196" s="161" t="str" cm="1">
        <f t="array" ref="M196">IF(AND($D196&lt;&gt;"",$K196="Yes"),IF(SUMPRODUCT((tbl_Ledger[Invoice Number]=$D196)*(COUNTIF(Dup_Exclusions,tbl_Ledger[Tax Category])=0))&gt;1,"Yes","No"),"No")</f>
        <v>No</v>
      </c>
      <c r="N196" s="161" t="str">
        <f>IF(ABS($G196-$H196)&gt;Tax_Tolerance,"Yes","No")</f>
        <v>No</v>
      </c>
      <c r="O196" s="161" t="str">
        <f>IF(OR(AND($F196="Inflow",LEFT($E196,LEN(Prefix_Outflow))=Prefix_Outflow),AND($F196="Outflow",LEFT($E196,LEN(Prefix_Inflow))=Prefix_Inflow)),"Yes","No")</f>
        <v>No</v>
      </c>
      <c r="P196" s="161" t="str" cm="1">
        <f t="array" ref="P196">IF(AND(COUNTIF(Suspect_Categories,$E196)&gt;0,SUMPRODUCT(--ISNUMBER(SEARCH(Suspect_Keywords,$I196&amp;" "&amp;$J196)))&gt;0),"Yes","No")</f>
        <v>No</v>
      </c>
      <c r="Q196" s="161" t="str">
        <f t="shared" si="0"/>
        <v>No</v>
      </c>
    </row>
    <row r="197" spans="1:17" x14ac:dyDescent="0.3">
      <c r="A197" s="11"/>
      <c r="B197" s="157" cm="1">
        <f t="array" ref="B197">INDEX(tbl_Ledger[Row ID],ROWS($B$27:$B197))</f>
        <v>171</v>
      </c>
      <c r="C197" s="158" cm="1">
        <f t="array" ref="C197">INDEX(tbl_Ledger[Date],ROWS($B$27:$B197))</f>
        <v>46153</v>
      </c>
      <c r="D197" s="157" t="str" cm="1">
        <f t="array" ref="D197">IF(INDEX(tbl_Ledger[Invoice Number],ROWS($B$27:$B197))="","",INDEX(tbl_Ledger[Invoice Number],ROWS($B$27:$B197)))</f>
        <v>NHL-2026-0066</v>
      </c>
      <c r="E197" s="157" t="str" cm="1">
        <f t="array" ref="E197">INDEX(tbl_Ledger[Tax Category],ROWS($B$27:$B197))</f>
        <v>OUT_STD</v>
      </c>
      <c r="F197" s="157" t="str" cm="1">
        <f t="array" ref="F197">INDEX(tbl_Ledger[Direction],ROWS($B$27:$B197))</f>
        <v>Inflow</v>
      </c>
      <c r="G197" s="159" cm="1">
        <f t="array" ref="G197">INDEX(tbl_Ledger[Tax Charged on Invoice],ROWS($B$27:$B197))</f>
        <v>24246.6</v>
      </c>
      <c r="H197" s="159" cm="1">
        <f t="array" ref="H197">INDEX(tbl_Ledger[Expected Total Tax],ROWS($B$27:$B197))</f>
        <v>24246.600000000002</v>
      </c>
      <c r="I197" s="159" t="str" cm="1">
        <f t="array" ref="I197">INDEX(tbl_Ledger[Description],ROWS($B$27:$B197))</f>
        <v>Bulk haulage of ATK, Tema-Takoradi, 2 trips</v>
      </c>
      <c r="J197" s="159" t="str" cm="1">
        <f t="array" ref="J197">INDEX(tbl_Ledger[Counterparty],ROWS($B$27:$B197))</f>
        <v>Sankofa Petroleum Depot Ltd</v>
      </c>
      <c r="K197" s="160" t="str">
        <f>IF(COUNTIF(Dup_Exclusions,$E197)&gt;0,"No","Yes")</f>
        <v>Yes</v>
      </c>
      <c r="L197" s="161" t="str">
        <f>IF(AND($D197="",COUNTIF(NoInv_Exempt,$E197)=0),"Yes","No")</f>
        <v>No</v>
      </c>
      <c r="M197" s="161" t="str" cm="1">
        <f t="array" ref="M197">IF(AND($D197&lt;&gt;"",$K197="Yes"),IF(SUMPRODUCT((tbl_Ledger[Invoice Number]=$D197)*(COUNTIF(Dup_Exclusions,tbl_Ledger[Tax Category])=0))&gt;1,"Yes","No"),"No")</f>
        <v>No</v>
      </c>
      <c r="N197" s="161" t="str">
        <f>IF(ABS($G197-$H197)&gt;Tax_Tolerance,"Yes","No")</f>
        <v>No</v>
      </c>
      <c r="O197" s="161" t="str">
        <f>IF(OR(AND($F197="Inflow",LEFT($E197,LEN(Prefix_Outflow))=Prefix_Outflow),AND($F197="Outflow",LEFT($E197,LEN(Prefix_Inflow))=Prefix_Inflow)),"Yes","No")</f>
        <v>No</v>
      </c>
      <c r="P197" s="161" t="str" cm="1">
        <f t="array" ref="P197">IF(AND(COUNTIF(Suspect_Categories,$E197)&gt;0,SUMPRODUCT(--ISNUMBER(SEARCH(Suspect_Keywords,$I197&amp;" "&amp;$J197)))&gt;0),"Yes","No")</f>
        <v>No</v>
      </c>
      <c r="Q197" s="161" t="str">
        <f t="shared" si="0"/>
        <v>No</v>
      </c>
    </row>
    <row r="198" spans="1:17" x14ac:dyDescent="0.3">
      <c r="A198" s="11"/>
      <c r="B198" s="157" cm="1">
        <f t="array" ref="B198">INDEX(tbl_Ledger[Row ID],ROWS($B$27:$B198))</f>
        <v>172</v>
      </c>
      <c r="C198" s="158" cm="1">
        <f t="array" ref="C198">INDEX(tbl_Ledger[Date],ROWS($B$27:$B198))</f>
        <v>46157</v>
      </c>
      <c r="D198" s="157" t="str" cm="1">
        <f t="array" ref="D198">IF(INDEX(tbl_Ledger[Invoice Number],ROWS($B$27:$B198))="","",INDEX(tbl_Ledger[Invoice Number],ROWS($B$27:$B198)))</f>
        <v>LN-2026-0005</v>
      </c>
      <c r="E198" s="157" t="str" cm="1">
        <f t="array" ref="E198">INDEX(tbl_Ledger[Tax Category],ROWS($B$27:$B198))</f>
        <v>NO_VAT</v>
      </c>
      <c r="F198" s="157" t="str" cm="1">
        <f t="array" ref="F198">INDEX(tbl_Ledger[Direction],ROWS($B$27:$B198))</f>
        <v>Outflow</v>
      </c>
      <c r="G198" s="159" cm="1">
        <f t="array" ref="G198">INDEX(tbl_Ledger[Tax Charged on Invoice],ROWS($B$27:$B198))</f>
        <v>0</v>
      </c>
      <c r="H198" s="159" cm="1">
        <f t="array" ref="H198">INDEX(tbl_Ledger[Expected Total Tax],ROWS($B$27:$B198))</f>
        <v>0</v>
      </c>
      <c r="I198" s="159" t="str" cm="1">
        <f t="array" ref="I198">INDEX(tbl_Ledger[Description],ROWS($B$27:$B198))</f>
        <v>Term loan repayment - principal and interest, instalment 5</v>
      </c>
      <c r="J198" s="159" t="str" cm="1">
        <f t="array" ref="J198">INDEX(tbl_Ledger[Counterparty],ROWS($B$27:$B198))</f>
        <v>Meridian Bank Ghana Ltd</v>
      </c>
      <c r="K198" s="160" t="str">
        <f>IF(COUNTIF(Dup_Exclusions,$E198)&gt;0,"No","Yes")</f>
        <v>Yes</v>
      </c>
      <c r="L198" s="161" t="str">
        <f>IF(AND($D198="",COUNTIF(NoInv_Exempt,$E198)=0),"Yes","No")</f>
        <v>No</v>
      </c>
      <c r="M198" s="161" t="str" cm="1">
        <f t="array" ref="M198">IF(AND($D198&lt;&gt;"",$K198="Yes"),IF(SUMPRODUCT((tbl_Ledger[Invoice Number]=$D198)*(COUNTIF(Dup_Exclusions,tbl_Ledger[Tax Category])=0))&gt;1,"Yes","No"),"No")</f>
        <v>No</v>
      </c>
      <c r="N198" s="161" t="str">
        <f>IF(ABS($G198-$H198)&gt;Tax_Tolerance,"Yes","No")</f>
        <v>No</v>
      </c>
      <c r="O198" s="161" t="str">
        <f>IF(OR(AND($F198="Inflow",LEFT($E198,LEN(Prefix_Outflow))=Prefix_Outflow),AND($F198="Outflow",LEFT($E198,LEN(Prefix_Inflow))=Prefix_Inflow)),"Yes","No")</f>
        <v>No</v>
      </c>
      <c r="P198" s="161" t="str" cm="1">
        <f t="array" ref="P198">IF(AND(COUNTIF(Suspect_Categories,$E198)&gt;0,SUMPRODUCT(--ISNUMBER(SEARCH(Suspect_Keywords,$I198&amp;" "&amp;$J198)))&gt;0),"Yes","No")</f>
        <v>No</v>
      </c>
      <c r="Q198" s="161" t="str">
        <f t="shared" si="0"/>
        <v>No</v>
      </c>
    </row>
    <row r="199" spans="1:17" x14ac:dyDescent="0.3">
      <c r="A199" s="11"/>
      <c r="B199" s="157" cm="1">
        <f t="array" ref="B199">INDEX(tbl_Ledger[Row ID],ROWS($B$27:$B199))</f>
        <v>173</v>
      </c>
      <c r="C199" s="158" cm="1">
        <f t="array" ref="C199">INDEX(tbl_Ledger[Date],ROWS($B$27:$B199))</f>
        <v>46158</v>
      </c>
      <c r="D199" s="157" t="str" cm="1">
        <f t="array" ref="D199">IF(INDEX(tbl_Ledger[Invoice Number],ROWS($B$27:$B199))="","",INDEX(tbl_Ledger[Invoice Number],ROWS($B$27:$B199)))</f>
        <v>JNL-2026-0006</v>
      </c>
      <c r="E199" s="157" t="str" cm="1">
        <f t="array" ref="E199">INDEX(tbl_Ledger[Tax Category],ROWS($B$27:$B199))</f>
        <v>NO_VAT</v>
      </c>
      <c r="F199" s="157" t="str" cm="1">
        <f t="array" ref="F199">INDEX(tbl_Ledger[Direction],ROWS($B$27:$B199))</f>
        <v>Outflow</v>
      </c>
      <c r="G199" s="159" cm="1">
        <f t="array" ref="G199">INDEX(tbl_Ledger[Tax Charged on Invoice],ROWS($B$27:$B199))</f>
        <v>0</v>
      </c>
      <c r="H199" s="159" cm="1">
        <f t="array" ref="H199">INDEX(tbl_Ledger[Expected Total Tax],ROWS($B$27:$B199))</f>
        <v>0</v>
      </c>
      <c r="I199" s="159" t="str" cm="1">
        <f t="array" ref="I199">INDEX(tbl_Ledger[Description],ROWS($B$27:$B199))</f>
        <v>Transfer to fleet replacement reserve</v>
      </c>
      <c r="J199" s="159" t="str" cm="1">
        <f t="array" ref="J199">INDEX(tbl_Ledger[Counterparty],ROWS($B$27:$B199))</f>
        <v>Ghana Revenue Authority</v>
      </c>
      <c r="K199" s="160" t="str">
        <f>IF(COUNTIF(Dup_Exclusions,$E199)&gt;0,"No","Yes")</f>
        <v>Yes</v>
      </c>
      <c r="L199" s="161" t="str">
        <f>IF(AND($D199="",COUNTIF(NoInv_Exempt,$E199)=0),"Yes","No")</f>
        <v>No</v>
      </c>
      <c r="M199" s="161" t="str" cm="1">
        <f t="array" ref="M199">IF(AND($D199&lt;&gt;"",$K199="Yes"),IF(SUMPRODUCT((tbl_Ledger[Invoice Number]=$D199)*(COUNTIF(Dup_Exclusions,tbl_Ledger[Tax Category])=0))&gt;1,"Yes","No"),"No")</f>
        <v>No</v>
      </c>
      <c r="N199" s="161" t="str">
        <f>IF(ABS($G199-$H199)&gt;Tax_Tolerance,"Yes","No")</f>
        <v>No</v>
      </c>
      <c r="O199" s="161" t="str">
        <f>IF(OR(AND($F199="Inflow",LEFT($E199,LEN(Prefix_Outflow))=Prefix_Outflow),AND($F199="Outflow",LEFT($E199,LEN(Prefix_Inflow))=Prefix_Inflow)),"Yes","No")</f>
        <v>No</v>
      </c>
      <c r="P199" s="161" t="str" cm="1">
        <f t="array" ref="P199">IF(AND(COUNTIF(Suspect_Categories,$E199)&gt;0,SUMPRODUCT(--ISNUMBER(SEARCH(Suspect_Keywords,$I199&amp;" "&amp;$J199)))&gt;0),"Yes","No")</f>
        <v>No</v>
      </c>
      <c r="Q199" s="161" t="str">
        <f t="shared" si="0"/>
        <v>No</v>
      </c>
    </row>
    <row r="200" spans="1:17" x14ac:dyDescent="0.3">
      <c r="A200" s="11"/>
      <c r="B200" s="157" cm="1">
        <f t="array" ref="B200">INDEX(tbl_Ledger[Row ID],ROWS($B$27:$B200))</f>
        <v>174</v>
      </c>
      <c r="C200" s="158" cm="1">
        <f t="array" ref="C200">INDEX(tbl_Ledger[Date],ROWS($B$27:$B200))</f>
        <v>46158</v>
      </c>
      <c r="D200" s="157" t="str" cm="1">
        <f t="array" ref="D200">IF(INDEX(tbl_Ledger[Invoice Number],ROWS($B$27:$B200))="","",INDEX(tbl_Ledger[Invoice Number],ROWS($B$27:$B200)))</f>
        <v>NHL-2026-0067</v>
      </c>
      <c r="E200" s="157" t="str" cm="1">
        <f t="array" ref="E200">INDEX(tbl_Ledger[Tax Category],ROWS($B$27:$B200))</f>
        <v>OUT_STD</v>
      </c>
      <c r="F200" s="157" t="str" cm="1">
        <f t="array" ref="F200">INDEX(tbl_Ledger[Direction],ROWS($B$27:$B200))</f>
        <v>Inflow</v>
      </c>
      <c r="G200" s="159" cm="1">
        <f t="array" ref="G200">INDEX(tbl_Ledger[Tax Charged on Invoice],ROWS($B$27:$B200))</f>
        <v>10468.799999999999</v>
      </c>
      <c r="H200" s="159" cm="1">
        <f t="array" ref="H200">INDEX(tbl_Ledger[Expected Total Tax],ROWS($B$27:$B200))</f>
        <v>10468.799999999999</v>
      </c>
      <c r="I200" s="159" t="str" cm="1">
        <f t="array" ref="I200">INDEX(tbl_Ledger[Description],ROWS($B$27:$B200))</f>
        <v>Bulk haulage of PMS, Tema-Ho, 9 trips</v>
      </c>
      <c r="J200" s="159" t="str" cm="1">
        <f t="array" ref="J200">INDEX(tbl_Ledger[Counterparty],ROWS($B$27:$B200))</f>
        <v>Adinkra Oil Marketing Ltd</v>
      </c>
      <c r="K200" s="160" t="str">
        <f>IF(COUNTIF(Dup_Exclusions,$E200)&gt;0,"No","Yes")</f>
        <v>Yes</v>
      </c>
      <c r="L200" s="161" t="str">
        <f>IF(AND($D200="",COUNTIF(NoInv_Exempt,$E200)=0),"Yes","No")</f>
        <v>No</v>
      </c>
      <c r="M200" s="161" t="str" cm="1">
        <f t="array" ref="M200">IF(AND($D200&lt;&gt;"",$K200="Yes"),IF(SUMPRODUCT((tbl_Ledger[Invoice Number]=$D200)*(COUNTIF(Dup_Exclusions,tbl_Ledger[Tax Category])=0))&gt;1,"Yes","No"),"No")</f>
        <v>No</v>
      </c>
      <c r="N200" s="161" t="str">
        <f>IF(ABS($G200-$H200)&gt;Tax_Tolerance,"Yes","No")</f>
        <v>No</v>
      </c>
      <c r="O200" s="161" t="str">
        <f>IF(OR(AND($F200="Inflow",LEFT($E200,LEN(Prefix_Outflow))=Prefix_Outflow),AND($F200="Outflow",LEFT($E200,LEN(Prefix_Inflow))=Prefix_Inflow)),"Yes","No")</f>
        <v>No</v>
      </c>
      <c r="P200" s="161" t="str" cm="1">
        <f t="array" ref="P200">IF(AND(COUNTIF(Suspect_Categories,$E200)&gt;0,SUMPRODUCT(--ISNUMBER(SEARCH(Suspect_Keywords,$I200&amp;" "&amp;$J200)))&gt;0),"Yes","No")</f>
        <v>No</v>
      </c>
      <c r="Q200" s="161" t="str">
        <f t="shared" si="0"/>
        <v>No</v>
      </c>
    </row>
    <row r="201" spans="1:17" x14ac:dyDescent="0.3">
      <c r="A201" s="11"/>
      <c r="B201" s="157" cm="1">
        <f t="array" ref="B201">INDEX(tbl_Ledger[Row ID],ROWS($B$27:$B201))</f>
        <v>175</v>
      </c>
      <c r="C201" s="158" cm="1">
        <f t="array" ref="C201">INDEX(tbl_Ledger[Date],ROWS($B$27:$B201))</f>
        <v>46158</v>
      </c>
      <c r="D201" s="157" t="str" cm="1">
        <f t="array" ref="D201">IF(INDEX(tbl_Ledger[Invoice Number],ROWS($B$27:$B201))="","",INDEX(tbl_Ledger[Invoice Number],ROWS($B$27:$B201)))</f>
        <v>NHL-2026-0068</v>
      </c>
      <c r="E201" s="157" t="str" cm="1">
        <f t="array" ref="E201">INDEX(tbl_Ledger[Tax Category],ROWS($B$27:$B201))</f>
        <v>OUT_STD</v>
      </c>
      <c r="F201" s="157" t="str" cm="1">
        <f t="array" ref="F201">INDEX(tbl_Ledger[Direction],ROWS($B$27:$B201))</f>
        <v>Inflow</v>
      </c>
      <c r="G201" s="159" cm="1">
        <f t="array" ref="G201">INDEX(tbl_Ledger[Tax Charged on Invoice],ROWS($B$27:$B201))</f>
        <v>20122.8</v>
      </c>
      <c r="H201" s="159" cm="1">
        <f t="array" ref="H201">INDEX(tbl_Ledger[Expected Total Tax],ROWS($B$27:$B201))</f>
        <v>20122.799999999996</v>
      </c>
      <c r="I201" s="159" t="str" cm="1">
        <f t="array" ref="I201">INDEX(tbl_Ledger[Description],ROWS($B$27:$B201))</f>
        <v>Bulk haulage of LPG, Tema-Kumasi, 3 trips</v>
      </c>
      <c r="J201" s="159" t="str" cm="1">
        <f t="array" ref="J201">INDEX(tbl_Ledger[Counterparty],ROWS($B$27:$B201))</f>
        <v>Tema Bulk Energy Ltd</v>
      </c>
      <c r="K201" s="160" t="str">
        <f>IF(COUNTIF(Dup_Exclusions,$E201)&gt;0,"No","Yes")</f>
        <v>Yes</v>
      </c>
      <c r="L201" s="161" t="str">
        <f>IF(AND($D201="",COUNTIF(NoInv_Exempt,$E201)=0),"Yes","No")</f>
        <v>No</v>
      </c>
      <c r="M201" s="161" t="str" cm="1">
        <f t="array" ref="M201">IF(AND($D201&lt;&gt;"",$K201="Yes"),IF(SUMPRODUCT((tbl_Ledger[Invoice Number]=$D201)*(COUNTIF(Dup_Exclusions,tbl_Ledger[Tax Category])=0))&gt;1,"Yes","No"),"No")</f>
        <v>No</v>
      </c>
      <c r="N201" s="161" t="str">
        <f>IF(ABS($G201-$H201)&gt;Tax_Tolerance,"Yes","No")</f>
        <v>No</v>
      </c>
      <c r="O201" s="161" t="str">
        <f>IF(OR(AND($F201="Inflow",LEFT($E201,LEN(Prefix_Outflow))=Prefix_Outflow),AND($F201="Outflow",LEFT($E201,LEN(Prefix_Inflow))=Prefix_Inflow)),"Yes","No")</f>
        <v>No</v>
      </c>
      <c r="P201" s="161" t="str" cm="1">
        <f t="array" ref="P201">IF(AND(COUNTIF(Suspect_Categories,$E201)&gt;0,SUMPRODUCT(--ISNUMBER(SEARCH(Suspect_Keywords,$I201&amp;" "&amp;$J201)))&gt;0),"Yes","No")</f>
        <v>No</v>
      </c>
      <c r="Q201" s="161" t="str">
        <f t="shared" si="0"/>
        <v>No</v>
      </c>
    </row>
    <row r="202" spans="1:17" x14ac:dyDescent="0.3">
      <c r="A202" s="11"/>
      <c r="B202" s="157" cm="1">
        <f t="array" ref="B202">INDEX(tbl_Ledger[Row ID],ROWS($B$27:$B202))</f>
        <v>176</v>
      </c>
      <c r="C202" s="158" cm="1">
        <f t="array" ref="C202">INDEX(tbl_Ledger[Date],ROWS($B$27:$B202))</f>
        <v>46158</v>
      </c>
      <c r="D202" s="157" t="str" cm="1">
        <f t="array" ref="D202">IF(INDEX(tbl_Ledger[Invoice Number],ROWS($B$27:$B202))="","",INDEX(tbl_Ledger[Invoice Number],ROWS($B$27:$B202)))</f>
        <v>NHL-2026-0069</v>
      </c>
      <c r="E202" s="157" t="str" cm="1">
        <f t="array" ref="E202">INDEX(tbl_Ledger[Tax Category],ROWS($B$27:$B202))</f>
        <v>OUT_STD</v>
      </c>
      <c r="F202" s="157" t="str" cm="1">
        <f t="array" ref="F202">INDEX(tbl_Ledger[Direction],ROWS($B$27:$B202))</f>
        <v>Inflow</v>
      </c>
      <c r="G202" s="159" cm="1">
        <f t="array" ref="G202">INDEX(tbl_Ledger[Tax Charged on Invoice],ROWS($B$27:$B202))</f>
        <v>11338.6</v>
      </c>
      <c r="H202" s="159" cm="1">
        <f t="array" ref="H202">INDEX(tbl_Ledger[Expected Total Tax],ROWS($B$27:$B202))</f>
        <v>11338.6</v>
      </c>
      <c r="I202" s="159" t="str" cm="1">
        <f t="array" ref="I202">INDEX(tbl_Ledger[Description],ROWS($B$27:$B202))</f>
        <v>Bulk haulage of PMS, Kumasi-Sunyani, 3 trips</v>
      </c>
      <c r="J202" s="159" t="str" cm="1">
        <f t="array" ref="J202">INDEX(tbl_Ledger[Counterparty],ROWS($B$27:$B202))</f>
        <v>Volta Star Fuels Ltd</v>
      </c>
      <c r="K202" s="160" t="str">
        <f>IF(COUNTIF(Dup_Exclusions,$E202)&gt;0,"No","Yes")</f>
        <v>Yes</v>
      </c>
      <c r="L202" s="161" t="str">
        <f>IF(AND($D202="",COUNTIF(NoInv_Exempt,$E202)=0),"Yes","No")</f>
        <v>No</v>
      </c>
      <c r="M202" s="161" t="str" cm="1">
        <f t="array" ref="M202">IF(AND($D202&lt;&gt;"",$K202="Yes"),IF(SUMPRODUCT((tbl_Ledger[Invoice Number]=$D202)*(COUNTIF(Dup_Exclusions,tbl_Ledger[Tax Category])=0))&gt;1,"Yes","No"),"No")</f>
        <v>No</v>
      </c>
      <c r="N202" s="161" t="str">
        <f>IF(ABS($G202-$H202)&gt;Tax_Tolerance,"Yes","No")</f>
        <v>No</v>
      </c>
      <c r="O202" s="161" t="str">
        <f>IF(OR(AND($F202="Inflow",LEFT($E202,LEN(Prefix_Outflow))=Prefix_Outflow),AND($F202="Outflow",LEFT($E202,LEN(Prefix_Inflow))=Prefix_Inflow)),"Yes","No")</f>
        <v>No</v>
      </c>
      <c r="P202" s="161" t="str" cm="1">
        <f t="array" ref="P202">IF(AND(COUNTIF(Suspect_Categories,$E202)&gt;0,SUMPRODUCT(--ISNUMBER(SEARCH(Suspect_Keywords,$I202&amp;" "&amp;$J202)))&gt;0),"Yes","No")</f>
        <v>No</v>
      </c>
      <c r="Q202" s="161" t="str">
        <f t="shared" si="0"/>
        <v>No</v>
      </c>
    </row>
    <row r="203" spans="1:17" x14ac:dyDescent="0.3">
      <c r="A203" s="11"/>
      <c r="B203" s="157" cm="1">
        <f t="array" ref="B203">INDEX(tbl_Ledger[Row ID],ROWS($B$27:$B203))</f>
        <v>177</v>
      </c>
      <c r="C203" s="158" cm="1">
        <f t="array" ref="C203">INDEX(tbl_Ledger[Date],ROWS($B$27:$B203))</f>
        <v>46159</v>
      </c>
      <c r="D203" s="157" t="str" cm="1">
        <f t="array" ref="D203">IF(INDEX(tbl_Ledger[Invoice Number],ROWS($B$27:$B203))="","",INDEX(tbl_Ledger[Invoice Number],ROWS($B$27:$B203)))</f>
        <v>NHL-2026-0070</v>
      </c>
      <c r="E203" s="157" t="str" cm="1">
        <f t="array" ref="E203">INDEX(tbl_Ledger[Tax Category],ROWS($B$27:$B203))</f>
        <v>WHT_SVC</v>
      </c>
      <c r="F203" s="157" t="str" cm="1">
        <f t="array" ref="F203">INDEX(tbl_Ledger[Direction],ROWS($B$27:$B203))</f>
        <v>Inflow</v>
      </c>
      <c r="G203" s="159" cm="1">
        <f t="array" ref="G203">INDEX(tbl_Ledger[Tax Charged on Invoice],ROWS($B$27:$B203))</f>
        <v>8045</v>
      </c>
      <c r="H203" s="159" cm="1">
        <f t="array" ref="H203">INDEX(tbl_Ledger[Expected Total Tax],ROWS($B$27:$B203))</f>
        <v>8045</v>
      </c>
      <c r="I203" s="159" t="str" cm="1">
        <f t="array" ref="I203">INDEX(tbl_Ledger[Description],ROWS($B$27:$B203))</f>
        <v>Contract haulage of PMS, Takoradi-Wa; customer withheld income tax at 7.5% on the service fee</v>
      </c>
      <c r="J203" s="159" t="str" cm="1">
        <f t="array" ref="J203">INDEX(tbl_Ledger[Counterparty],ROWS($B$27:$B203))</f>
        <v>Volta Star Fuels Ltd</v>
      </c>
      <c r="K203" s="160" t="str">
        <f>IF(COUNTIF(Dup_Exclusions,$E203)&gt;0,"No","Yes")</f>
        <v>Yes</v>
      </c>
      <c r="L203" s="161" t="str">
        <f>IF(AND($D203="",COUNTIF(NoInv_Exempt,$E203)=0),"Yes","No")</f>
        <v>No</v>
      </c>
      <c r="M203" s="161" t="str" cm="1">
        <f t="array" ref="M203">IF(AND($D203&lt;&gt;"",$K203="Yes"),IF(SUMPRODUCT((tbl_Ledger[Invoice Number]=$D203)*(COUNTIF(Dup_Exclusions,tbl_Ledger[Tax Category])=0))&gt;1,"Yes","No"),"No")</f>
        <v>No</v>
      </c>
      <c r="N203" s="161" t="str">
        <f>IF(ABS($G203-$H203)&gt;Tax_Tolerance,"Yes","No")</f>
        <v>No</v>
      </c>
      <c r="O203" s="161" t="str">
        <f>IF(OR(AND($F203="Inflow",LEFT($E203,LEN(Prefix_Outflow))=Prefix_Outflow),AND($F203="Outflow",LEFT($E203,LEN(Prefix_Inflow))=Prefix_Inflow)),"Yes","No")</f>
        <v>No</v>
      </c>
      <c r="P203" s="161" t="str" cm="1">
        <f t="array" ref="P203">IF(AND(COUNTIF(Suspect_Categories,$E203)&gt;0,SUMPRODUCT(--ISNUMBER(SEARCH(Suspect_Keywords,$I203&amp;" "&amp;$J203)))&gt;0),"Yes","No")</f>
        <v>No</v>
      </c>
      <c r="Q203" s="161" t="str">
        <f t="shared" si="0"/>
        <v>No</v>
      </c>
    </row>
    <row r="204" spans="1:17" x14ac:dyDescent="0.3">
      <c r="A204" s="11"/>
      <c r="B204" s="157" cm="1">
        <f t="array" ref="B204">INDEX(tbl_Ledger[Row ID],ROWS($B$27:$B204))</f>
        <v>178</v>
      </c>
      <c r="C204" s="158" cm="1">
        <f t="array" ref="C204">INDEX(tbl_Ledger[Date],ROWS($B$27:$B204))</f>
        <v>46160</v>
      </c>
      <c r="D204" s="157" t="str" cm="1">
        <f t="array" ref="D204">IF(INDEX(tbl_Ledger[Invoice Number],ROWS($B$27:$B204))="","",INDEX(tbl_Ledger[Invoice Number],ROWS($B$27:$B204)))</f>
        <v>NHL-2026-0071</v>
      </c>
      <c r="E204" s="157" t="str" cm="1">
        <f t="array" ref="E204">INDEX(tbl_Ledger[Tax Category],ROWS($B$27:$B204))</f>
        <v>OUT_STD</v>
      </c>
      <c r="F204" s="157" t="str" cm="1">
        <f t="array" ref="F204">INDEX(tbl_Ledger[Direction],ROWS($B$27:$B204))</f>
        <v>Inflow</v>
      </c>
      <c r="G204" s="159" cm="1">
        <f t="array" ref="G204">INDEX(tbl_Ledger[Tax Charged on Invoice],ROWS($B$27:$B204))</f>
        <v>12087.2</v>
      </c>
      <c r="H204" s="159" cm="1">
        <f t="array" ref="H204">INDEX(tbl_Ledger[Expected Total Tax],ROWS($B$27:$B204))</f>
        <v>12087.199999999999</v>
      </c>
      <c r="I204" s="159" t="str" cm="1">
        <f t="array" ref="I204">INDEX(tbl_Ledger[Description],ROWS($B$27:$B204))</f>
        <v>Bulk haulage of AGO, Tema-Ho, 8 trips</v>
      </c>
      <c r="J204" s="159" t="str" cm="1">
        <f t="array" ref="J204">INDEX(tbl_Ledger[Counterparty],ROWS($B$27:$B204))</f>
        <v>Sankofa Petroleum Depot Ltd</v>
      </c>
      <c r="K204" s="160" t="str">
        <f>IF(COUNTIF(Dup_Exclusions,$E204)&gt;0,"No","Yes")</f>
        <v>Yes</v>
      </c>
      <c r="L204" s="161" t="str">
        <f>IF(AND($D204="",COUNTIF(NoInv_Exempt,$E204)=0),"Yes","No")</f>
        <v>No</v>
      </c>
      <c r="M204" s="161" t="str" cm="1">
        <f t="array" ref="M204">IF(AND($D204&lt;&gt;"",$K204="Yes"),IF(SUMPRODUCT((tbl_Ledger[Invoice Number]=$D204)*(COUNTIF(Dup_Exclusions,tbl_Ledger[Tax Category])=0))&gt;1,"Yes","No"),"No")</f>
        <v>No</v>
      </c>
      <c r="N204" s="161" t="str">
        <f>IF(ABS($G204-$H204)&gt;Tax_Tolerance,"Yes","No")</f>
        <v>No</v>
      </c>
      <c r="O204" s="161" t="str">
        <f>IF(OR(AND($F204="Inflow",LEFT($E204,LEN(Prefix_Outflow))=Prefix_Outflow),AND($F204="Outflow",LEFT($E204,LEN(Prefix_Inflow))=Prefix_Inflow)),"Yes","No")</f>
        <v>No</v>
      </c>
      <c r="P204" s="161" t="str" cm="1">
        <f t="array" ref="P204">IF(AND(COUNTIF(Suspect_Categories,$E204)&gt;0,SUMPRODUCT(--ISNUMBER(SEARCH(Suspect_Keywords,$I204&amp;" "&amp;$J204)))&gt;0),"Yes","No")</f>
        <v>No</v>
      </c>
      <c r="Q204" s="161" t="str">
        <f t="shared" si="0"/>
        <v>No</v>
      </c>
    </row>
    <row r="205" spans="1:17" x14ac:dyDescent="0.3">
      <c r="A205" s="11"/>
      <c r="B205" s="157" cm="1">
        <f t="array" ref="B205">INDEX(tbl_Ledger[Row ID],ROWS($B$27:$B205))</f>
        <v>179</v>
      </c>
      <c r="C205" s="158" cm="1">
        <f t="array" ref="C205">INDEX(tbl_Ledger[Date],ROWS($B$27:$B205))</f>
        <v>46162</v>
      </c>
      <c r="D205" s="157" t="str" cm="1">
        <f t="array" ref="D205">IF(INDEX(tbl_Ledger[Invoice Number],ROWS($B$27:$B205))="","",INDEX(tbl_Ledger[Invoice Number],ROWS($B$27:$B205)))</f>
        <v>NHL-2026-0072</v>
      </c>
      <c r="E205" s="157" t="str" cm="1">
        <f t="array" ref="E205">INDEX(tbl_Ledger[Tax Category],ROWS($B$27:$B205))</f>
        <v>OUT_STD</v>
      </c>
      <c r="F205" s="157" t="str" cm="1">
        <f t="array" ref="F205">INDEX(tbl_Ledger[Direction],ROWS($B$27:$B205))</f>
        <v>Inflow</v>
      </c>
      <c r="G205" s="159" cm="1">
        <f t="array" ref="G205">INDEX(tbl_Ledger[Tax Charged on Invoice],ROWS($B$27:$B205))</f>
        <v>16948.400000000001</v>
      </c>
      <c r="H205" s="159" cm="1">
        <f t="array" ref="H205">INDEX(tbl_Ledger[Expected Total Tax],ROWS($B$27:$B205))</f>
        <v>16948.399999999998</v>
      </c>
      <c r="I205" s="159" t="str" cm="1">
        <f t="array" ref="I205">INDEX(tbl_Ledger[Description],ROWS($B$27:$B205))</f>
        <v>Bulk haulage of ATK, Tema-Bolgatanga, 9 trips</v>
      </c>
      <c r="J205" s="159" t="str" cm="1">
        <f t="array" ref="J205">INDEX(tbl_Ledger[Counterparty],ROWS($B$27:$B205))</f>
        <v>Northern Star BDC Ltd</v>
      </c>
      <c r="K205" s="160" t="str">
        <f>IF(COUNTIF(Dup_Exclusions,$E205)&gt;0,"No","Yes")</f>
        <v>Yes</v>
      </c>
      <c r="L205" s="161" t="str">
        <f>IF(AND($D205="",COUNTIF(NoInv_Exempt,$E205)=0),"Yes","No")</f>
        <v>No</v>
      </c>
      <c r="M205" s="161" t="str" cm="1">
        <f t="array" ref="M205">IF(AND($D205&lt;&gt;"",$K205="Yes"),IF(SUMPRODUCT((tbl_Ledger[Invoice Number]=$D205)*(COUNTIF(Dup_Exclusions,tbl_Ledger[Tax Category])=0))&gt;1,"Yes","No"),"No")</f>
        <v>Yes</v>
      </c>
      <c r="N205" s="161" t="str">
        <f>IF(ABS($G205-$H205)&gt;Tax_Tolerance,"Yes","No")</f>
        <v>No</v>
      </c>
      <c r="O205" s="161" t="str">
        <f>IF(OR(AND($F205="Inflow",LEFT($E205,LEN(Prefix_Outflow))=Prefix_Outflow),AND($F205="Outflow",LEFT($E205,LEN(Prefix_Inflow))=Prefix_Inflow)),"Yes","No")</f>
        <v>No</v>
      </c>
      <c r="P205" s="161" t="str" cm="1">
        <f t="array" ref="P205">IF(AND(COUNTIF(Suspect_Categories,$E205)&gt;0,SUMPRODUCT(--ISNUMBER(SEARCH(Suspect_Keywords,$I205&amp;" "&amp;$J205)))&gt;0),"Yes","No")</f>
        <v>No</v>
      </c>
      <c r="Q205" s="161" t="str">
        <f t="shared" si="0"/>
        <v>Yes</v>
      </c>
    </row>
    <row r="206" spans="1:17" x14ac:dyDescent="0.3">
      <c r="A206" s="11"/>
      <c r="B206" s="157" cm="1">
        <f t="array" ref="B206">INDEX(tbl_Ledger[Row ID],ROWS($B$27:$B206))</f>
        <v>180</v>
      </c>
      <c r="C206" s="158" cm="1">
        <f t="array" ref="C206">INDEX(tbl_Ledger[Date],ROWS($B$27:$B206))</f>
        <v>46163</v>
      </c>
      <c r="D206" s="157" t="str" cm="1">
        <f t="array" ref="D206">IF(INDEX(tbl_Ledger[Invoice Number],ROWS($B$27:$B206))="","",INDEX(tbl_Ledger[Invoice Number],ROWS($B$27:$B206)))</f>
        <v>GRA-2026-0010</v>
      </c>
      <c r="E206" s="157" t="str" cm="1">
        <f t="array" ref="E206">INDEX(tbl_Ledger[Tax Category],ROWS($B$27:$B206))</f>
        <v>NO_VAT</v>
      </c>
      <c r="F206" s="157" t="str" cm="1">
        <f t="array" ref="F206">INDEX(tbl_Ledger[Direction],ROWS($B$27:$B206))</f>
        <v>Outflow</v>
      </c>
      <c r="G206" s="159" cm="1">
        <f t="array" ref="G206">INDEX(tbl_Ledger[Tax Charged on Invoice],ROWS($B$27:$B206))</f>
        <v>0</v>
      </c>
      <c r="H206" s="159" cm="1">
        <f t="array" ref="H206">INDEX(tbl_Ledger[Expected Total Tax],ROWS($B$27:$B206))</f>
        <v>0</v>
      </c>
      <c r="I206" s="159" t="str" cm="1">
        <f t="array" ref="I206">INDEX(tbl_Ledger[Description],ROWS($B$27:$B206))</f>
        <v>VAT and levies remitted to GRA for May period</v>
      </c>
      <c r="J206" s="159" t="str" cm="1">
        <f t="array" ref="J206">INDEX(tbl_Ledger[Counterparty],ROWS($B$27:$B206))</f>
        <v>Ghana Revenue Authority</v>
      </c>
      <c r="K206" s="160" t="str">
        <f>IF(COUNTIF(Dup_Exclusions,$E206)&gt;0,"No","Yes")</f>
        <v>Yes</v>
      </c>
      <c r="L206" s="161" t="str">
        <f>IF(AND($D206="",COUNTIF(NoInv_Exempt,$E206)=0),"Yes","No")</f>
        <v>No</v>
      </c>
      <c r="M206" s="161" t="str" cm="1">
        <f t="array" ref="M206">IF(AND($D206&lt;&gt;"",$K206="Yes"),IF(SUMPRODUCT((tbl_Ledger[Invoice Number]=$D206)*(COUNTIF(Dup_Exclusions,tbl_Ledger[Tax Category])=0))&gt;1,"Yes","No"),"No")</f>
        <v>No</v>
      </c>
      <c r="N206" s="161" t="str">
        <f>IF(ABS($G206-$H206)&gt;Tax_Tolerance,"Yes","No")</f>
        <v>No</v>
      </c>
      <c r="O206" s="161" t="str">
        <f>IF(OR(AND($F206="Inflow",LEFT($E206,LEN(Prefix_Outflow))=Prefix_Outflow),AND($F206="Outflow",LEFT($E206,LEN(Prefix_Inflow))=Prefix_Inflow)),"Yes","No")</f>
        <v>No</v>
      </c>
      <c r="P206" s="161" t="str" cm="1">
        <f t="array" ref="P206">IF(AND(COUNTIF(Suspect_Categories,$E206)&gt;0,SUMPRODUCT(--ISNUMBER(SEARCH(Suspect_Keywords,$I206&amp;" "&amp;$J206)))&gt;0),"Yes","No")</f>
        <v>No</v>
      </c>
      <c r="Q206" s="161" t="str">
        <f t="shared" si="0"/>
        <v>No</v>
      </c>
    </row>
    <row r="207" spans="1:17" x14ac:dyDescent="0.3">
      <c r="A207" s="11"/>
      <c r="B207" s="157" cm="1">
        <f t="array" ref="B207">INDEX(tbl_Ledger[Row ID],ROWS($B$27:$B207))</f>
        <v>181</v>
      </c>
      <c r="C207" s="158" cm="1">
        <f t="array" ref="C207">INDEX(tbl_Ledger[Date],ROWS($B$27:$B207))</f>
        <v>46164</v>
      </c>
      <c r="D207" s="157" t="str" cm="1">
        <f t="array" ref="D207">IF(INDEX(tbl_Ledger[Invoice Number],ROWS($B$27:$B207))="","",INDEX(tbl_Ledger[Invoice Number],ROWS($B$27:$B207)))</f>
        <v>SIN-2026-0068</v>
      </c>
      <c r="E207" s="157" t="str" cm="1">
        <f t="array" ref="E207">INDEX(tbl_Ledger[Tax Category],ROWS($B$27:$B207))</f>
        <v>IN_STD</v>
      </c>
      <c r="F207" s="157" t="str" cm="1">
        <f t="array" ref="F207">INDEX(tbl_Ledger[Direction],ROWS($B$27:$B207))</f>
        <v>Outflow</v>
      </c>
      <c r="G207" s="159" cm="1">
        <f t="array" ref="G207">INDEX(tbl_Ledger[Tax Charged on Invoice],ROWS($B$27:$B207))</f>
        <v>3996.4</v>
      </c>
      <c r="H207" s="159" cm="1">
        <f t="array" ref="H207">INDEX(tbl_Ledger[Expected Total Tax],ROWS($B$27:$B207))</f>
        <v>3996.4</v>
      </c>
      <c r="I207" s="159" t="str" cm="1">
        <f t="array" ref="I207">INDEX(tbl_Ledger[Description],ROWS($B$27:$B207))</f>
        <v>Truck spare parts and filters</v>
      </c>
      <c r="J207" s="159" t="str" cm="1">
        <f t="array" ref="J207">INDEX(tbl_Ledger[Counterparty],ROWS($B$27:$B207))</f>
        <v>Adom Telecom Ghana Ltd</v>
      </c>
      <c r="K207" s="160" t="str">
        <f>IF(COUNTIF(Dup_Exclusions,$E207)&gt;0,"No","Yes")</f>
        <v>Yes</v>
      </c>
      <c r="L207" s="161" t="str">
        <f>IF(AND($D207="",COUNTIF(NoInv_Exempt,$E207)=0),"Yes","No")</f>
        <v>No</v>
      </c>
      <c r="M207" s="161" t="str" cm="1">
        <f t="array" ref="M207">IF(AND($D207&lt;&gt;"",$K207="Yes"),IF(SUMPRODUCT((tbl_Ledger[Invoice Number]=$D207)*(COUNTIF(Dup_Exclusions,tbl_Ledger[Tax Category])=0))&gt;1,"Yes","No"),"No")</f>
        <v>No</v>
      </c>
      <c r="N207" s="161" t="str">
        <f>IF(ABS($G207-$H207)&gt;Tax_Tolerance,"Yes","No")</f>
        <v>No</v>
      </c>
      <c r="O207" s="161" t="str">
        <f>IF(OR(AND($F207="Inflow",LEFT($E207,LEN(Prefix_Outflow))=Prefix_Outflow),AND($F207="Outflow",LEFT($E207,LEN(Prefix_Inflow))=Prefix_Inflow)),"Yes","No")</f>
        <v>No</v>
      </c>
      <c r="P207" s="161" t="str" cm="1">
        <f t="array" ref="P207">IF(AND(COUNTIF(Suspect_Categories,$E207)&gt;0,SUMPRODUCT(--ISNUMBER(SEARCH(Suspect_Keywords,$I207&amp;" "&amp;$J207)))&gt;0),"Yes","No")</f>
        <v>No</v>
      </c>
      <c r="Q207" s="161" t="str">
        <f t="shared" si="0"/>
        <v>No</v>
      </c>
    </row>
    <row r="208" spans="1:17" x14ac:dyDescent="0.3">
      <c r="A208" s="11"/>
      <c r="B208" s="157" cm="1">
        <f t="array" ref="B208">INDEX(tbl_Ledger[Row ID],ROWS($B$27:$B208))</f>
        <v>182</v>
      </c>
      <c r="C208" s="158" cm="1">
        <f t="array" ref="C208">INDEX(tbl_Ledger[Date],ROWS($B$27:$B208))</f>
        <v>46164</v>
      </c>
      <c r="D208" s="157" t="str" cm="1">
        <f t="array" ref="D208">IF(INDEX(tbl_Ledger[Invoice Number],ROWS($B$27:$B208))="","",INDEX(tbl_Ledger[Invoice Number],ROWS($B$27:$B208)))</f>
        <v>SIN-2026-0069</v>
      </c>
      <c r="E208" s="157" t="str" cm="1">
        <f t="array" ref="E208">INDEX(tbl_Ledger[Tax Category],ROWS($B$27:$B208))</f>
        <v>IN_STD</v>
      </c>
      <c r="F208" s="157" t="str" cm="1">
        <f t="array" ref="F208">INDEX(tbl_Ledger[Direction],ROWS($B$27:$B208))</f>
        <v>Outflow</v>
      </c>
      <c r="G208" s="159" cm="1">
        <f t="array" ref="G208">INDEX(tbl_Ledger[Tax Charged on Invoice],ROWS($B$27:$B208))</f>
        <v>1361</v>
      </c>
      <c r="H208" s="159" cm="1">
        <f t="array" ref="H208">INDEX(tbl_Ledger[Expected Total Tax],ROWS($B$27:$B208))</f>
        <v>1361</v>
      </c>
      <c r="I208" s="159" t="str" cm="1">
        <f t="array" ref="I208">INDEX(tbl_Ledger[Description],ROWS($B$27:$B208))</f>
        <v>Fleet servicing and workshop labour</v>
      </c>
      <c r="J208" s="159" t="str" cm="1">
        <f t="array" ref="J208">INDEX(tbl_Ledger[Counterparty],ROWS($B$27:$B208))</f>
        <v>Kumasi Tyre Centre Ltd</v>
      </c>
      <c r="K208" s="160" t="str">
        <f>IF(COUNTIF(Dup_Exclusions,$E208)&gt;0,"No","Yes")</f>
        <v>Yes</v>
      </c>
      <c r="L208" s="161" t="str">
        <f>IF(AND($D208="",COUNTIF(NoInv_Exempt,$E208)=0),"Yes","No")</f>
        <v>No</v>
      </c>
      <c r="M208" s="161" t="str" cm="1">
        <f t="array" ref="M208">IF(AND($D208&lt;&gt;"",$K208="Yes"),IF(SUMPRODUCT((tbl_Ledger[Invoice Number]=$D208)*(COUNTIF(Dup_Exclusions,tbl_Ledger[Tax Category])=0))&gt;1,"Yes","No"),"No")</f>
        <v>No</v>
      </c>
      <c r="N208" s="161" t="str">
        <f>IF(ABS($G208-$H208)&gt;Tax_Tolerance,"Yes","No")</f>
        <v>No</v>
      </c>
      <c r="O208" s="161" t="str">
        <f>IF(OR(AND($F208="Inflow",LEFT($E208,LEN(Prefix_Outflow))=Prefix_Outflow),AND($F208="Outflow",LEFT($E208,LEN(Prefix_Inflow))=Prefix_Inflow)),"Yes","No")</f>
        <v>No</v>
      </c>
      <c r="P208" s="161" t="str" cm="1">
        <f t="array" ref="P208">IF(AND(COUNTIF(Suspect_Categories,$E208)&gt;0,SUMPRODUCT(--ISNUMBER(SEARCH(Suspect_Keywords,$I208&amp;" "&amp;$J208)))&gt;0),"Yes","No")</f>
        <v>No</v>
      </c>
      <c r="Q208" s="161" t="str">
        <f t="shared" si="0"/>
        <v>No</v>
      </c>
    </row>
    <row r="209" spans="1:17" x14ac:dyDescent="0.3">
      <c r="A209" s="11"/>
      <c r="B209" s="157" cm="1">
        <f t="array" ref="B209">INDEX(tbl_Ledger[Row ID],ROWS($B$27:$B209))</f>
        <v>183</v>
      </c>
      <c r="C209" s="158" cm="1">
        <f t="array" ref="C209">INDEX(tbl_Ledger[Date],ROWS($B$27:$B209))</f>
        <v>46164</v>
      </c>
      <c r="D209" s="157" t="str" cm="1">
        <f t="array" ref="D209">IF(INDEX(tbl_Ledger[Invoice Number],ROWS($B$27:$B209))="","",INDEX(tbl_Ledger[Invoice Number],ROWS($B$27:$B209)))</f>
        <v>SIN-2026-0070</v>
      </c>
      <c r="E209" s="157" t="str" cm="1">
        <f t="array" ref="E209">INDEX(tbl_Ledger[Tax Category],ROWS($B$27:$B209))</f>
        <v>IN_STD</v>
      </c>
      <c r="F209" s="157" t="str" cm="1">
        <f t="array" ref="F209">INDEX(tbl_Ledger[Direction],ROWS($B$27:$B209))</f>
        <v>Outflow</v>
      </c>
      <c r="G209" s="159" cm="1">
        <f t="array" ref="G209">INDEX(tbl_Ledger[Tax Charged on Invoice],ROWS($B$27:$B209))</f>
        <v>794</v>
      </c>
      <c r="H209" s="159" cm="1">
        <f t="array" ref="H209">INDEX(tbl_Ledger[Expected Total Tax],ROWS($B$27:$B209))</f>
        <v>794</v>
      </c>
      <c r="I209" s="159" t="str" cm="1">
        <f t="array" ref="I209">INDEX(tbl_Ledger[Description],ROWS($B$27:$B209))</f>
        <v>Truck spare parts and filters</v>
      </c>
      <c r="J209" s="159" t="str" cm="1">
        <f t="array" ref="J209">INDEX(tbl_Ledger[Counterparty],ROWS($B$27:$B209))</f>
        <v>Pinnacle Office Supplies Ltd</v>
      </c>
      <c r="K209" s="160" t="str">
        <f>IF(COUNTIF(Dup_Exclusions,$E209)&gt;0,"No","Yes")</f>
        <v>Yes</v>
      </c>
      <c r="L209" s="161" t="str">
        <f>IF(AND($D209="",COUNTIF(NoInv_Exempt,$E209)=0),"Yes","No")</f>
        <v>No</v>
      </c>
      <c r="M209" s="161" t="str" cm="1">
        <f t="array" ref="M209">IF(AND($D209&lt;&gt;"",$K209="Yes"),IF(SUMPRODUCT((tbl_Ledger[Invoice Number]=$D209)*(COUNTIF(Dup_Exclusions,tbl_Ledger[Tax Category])=0))&gt;1,"Yes","No"),"No")</f>
        <v>No</v>
      </c>
      <c r="N209" s="161" t="str">
        <f>IF(ABS($G209-$H209)&gt;Tax_Tolerance,"Yes","No")</f>
        <v>No</v>
      </c>
      <c r="O209" s="161" t="str">
        <f>IF(OR(AND($F209="Inflow",LEFT($E209,LEN(Prefix_Outflow))=Prefix_Outflow),AND($F209="Outflow",LEFT($E209,LEN(Prefix_Inflow))=Prefix_Inflow)),"Yes","No")</f>
        <v>No</v>
      </c>
      <c r="P209" s="161" t="str" cm="1">
        <f t="array" ref="P209">IF(AND(COUNTIF(Suspect_Categories,$E209)&gt;0,SUMPRODUCT(--ISNUMBER(SEARCH(Suspect_Keywords,$I209&amp;" "&amp;$J209)))&gt;0),"Yes","No")</f>
        <v>No</v>
      </c>
      <c r="Q209" s="161" t="str">
        <f t="shared" si="0"/>
        <v>No</v>
      </c>
    </row>
    <row r="210" spans="1:17" x14ac:dyDescent="0.3">
      <c r="A210" s="11"/>
      <c r="B210" s="157" cm="1">
        <f t="array" ref="B210">INDEX(tbl_Ledger[Row ID],ROWS($B$27:$B210))</f>
        <v>184</v>
      </c>
      <c r="C210" s="158" cm="1">
        <f t="array" ref="C210">INDEX(tbl_Ledger[Date],ROWS($B$27:$B210))</f>
        <v>46165</v>
      </c>
      <c r="D210" s="157" t="str" cm="1">
        <f t="array" ref="D210">IF(INDEX(tbl_Ledger[Invoice Number],ROWS($B$27:$B210))="","",INDEX(tbl_Ledger[Invoice Number],ROWS($B$27:$B210)))</f>
        <v>SIN-2026-0071</v>
      </c>
      <c r="E210" s="157" t="str" cm="1">
        <f t="array" ref="E210">INDEX(tbl_Ledger[Tax Category],ROWS($B$27:$B210))</f>
        <v>IN_STD</v>
      </c>
      <c r="F210" s="157" t="str" cm="1">
        <f t="array" ref="F210">INDEX(tbl_Ledger[Direction],ROWS($B$27:$B210))</f>
        <v>Outflow</v>
      </c>
      <c r="G210" s="159" cm="1">
        <f t="array" ref="G210">INDEX(tbl_Ledger[Tax Charged on Invoice],ROWS($B$27:$B210))</f>
        <v>523</v>
      </c>
      <c r="H210" s="159" cm="1">
        <f t="array" ref="H210">INDEX(tbl_Ledger[Expected Total Tax],ROWS($B$27:$B210))</f>
        <v>523</v>
      </c>
      <c r="I210" s="159" t="str" cm="1">
        <f t="array" ref="I210">INDEX(tbl_Ledger[Description],ROWS($B$27:$B210))</f>
        <v>Mobile and data services</v>
      </c>
      <c r="J210" s="159" t="str" cm="1">
        <f t="array" ref="J210">INDEX(tbl_Ledger[Counterparty],ROWS($B$27:$B210))</f>
        <v>Ashanti Truck Parts Ltd</v>
      </c>
      <c r="K210" s="160" t="str">
        <f>IF(COUNTIF(Dup_Exclusions,$E210)&gt;0,"No","Yes")</f>
        <v>Yes</v>
      </c>
      <c r="L210" s="161" t="str">
        <f>IF(AND($D210="",COUNTIF(NoInv_Exempt,$E210)=0),"Yes","No")</f>
        <v>No</v>
      </c>
      <c r="M210" s="161" t="str" cm="1">
        <f t="array" ref="M210">IF(AND($D210&lt;&gt;"",$K210="Yes"),IF(SUMPRODUCT((tbl_Ledger[Invoice Number]=$D210)*(COUNTIF(Dup_Exclusions,tbl_Ledger[Tax Category])=0))&gt;1,"Yes","No"),"No")</f>
        <v>No</v>
      </c>
      <c r="N210" s="161" t="str">
        <f>IF(ABS($G210-$H210)&gt;Tax_Tolerance,"Yes","No")</f>
        <v>No</v>
      </c>
      <c r="O210" s="161" t="str">
        <f>IF(OR(AND($F210="Inflow",LEFT($E210,LEN(Prefix_Outflow))=Prefix_Outflow),AND($F210="Outflow",LEFT($E210,LEN(Prefix_Inflow))=Prefix_Inflow)),"Yes","No")</f>
        <v>No</v>
      </c>
      <c r="P210" s="161" t="str" cm="1">
        <f t="array" ref="P210">IF(AND(COUNTIF(Suspect_Categories,$E210)&gt;0,SUMPRODUCT(--ISNUMBER(SEARCH(Suspect_Keywords,$I210&amp;" "&amp;$J210)))&gt;0),"Yes","No")</f>
        <v>No</v>
      </c>
      <c r="Q210" s="161" t="str">
        <f t="shared" si="0"/>
        <v>No</v>
      </c>
    </row>
    <row r="211" spans="1:17" x14ac:dyDescent="0.3">
      <c r="A211" s="11"/>
      <c r="B211" s="157" cm="1">
        <f t="array" ref="B211">INDEX(tbl_Ledger[Row ID],ROWS($B$27:$B211))</f>
        <v>185</v>
      </c>
      <c r="C211" s="158" cm="1">
        <f t="array" ref="C211">INDEX(tbl_Ledger[Date],ROWS($B$27:$B211))</f>
        <v>46165</v>
      </c>
      <c r="D211" s="157" t="str" cm="1">
        <f t="array" ref="D211">IF(INDEX(tbl_Ledger[Invoice Number],ROWS($B$27:$B211))="","",INDEX(tbl_Ledger[Invoice Number],ROWS($B$27:$B211)))</f>
        <v>SIN-2026-0072</v>
      </c>
      <c r="E211" s="157" t="str" cm="1">
        <f t="array" ref="E211">INDEX(tbl_Ledger[Tax Category],ROWS($B$27:$B211))</f>
        <v>IN_STD</v>
      </c>
      <c r="F211" s="157" t="str" cm="1">
        <f t="array" ref="F211">INDEX(tbl_Ledger[Direction],ROWS($B$27:$B211))</f>
        <v>Outflow</v>
      </c>
      <c r="G211" s="159" cm="1">
        <f t="array" ref="G211">INDEX(tbl_Ledger[Tax Charged on Invoice],ROWS($B$27:$B211))</f>
        <v>1354.4</v>
      </c>
      <c r="H211" s="159" cm="1">
        <f t="array" ref="H211">INDEX(tbl_Ledger[Expected Total Tax],ROWS($B$27:$B211))</f>
        <v>1354.3999999999999</v>
      </c>
      <c r="I211" s="159" t="str" cm="1">
        <f t="array" ref="I211">INDEX(tbl_Ledger[Description],ROWS($B$27:$B211))</f>
        <v>Fleet tracking software subscription</v>
      </c>
      <c r="J211" s="159" t="str" cm="1">
        <f t="array" ref="J211">INDEX(tbl_Ledger[Counterparty],ROWS($B$27:$B211))</f>
        <v>Bono Workshop Services Ltd</v>
      </c>
      <c r="K211" s="160" t="str">
        <f>IF(COUNTIF(Dup_Exclusions,$E211)&gt;0,"No","Yes")</f>
        <v>Yes</v>
      </c>
      <c r="L211" s="161" t="str">
        <f>IF(AND($D211="",COUNTIF(NoInv_Exempt,$E211)=0),"Yes","No")</f>
        <v>No</v>
      </c>
      <c r="M211" s="161" t="str" cm="1">
        <f t="array" ref="M211">IF(AND($D211&lt;&gt;"",$K211="Yes"),IF(SUMPRODUCT((tbl_Ledger[Invoice Number]=$D211)*(COUNTIF(Dup_Exclusions,tbl_Ledger[Tax Category])=0))&gt;1,"Yes","No"),"No")</f>
        <v>No</v>
      </c>
      <c r="N211" s="161" t="str">
        <f>IF(ABS($G211-$H211)&gt;Tax_Tolerance,"Yes","No")</f>
        <v>No</v>
      </c>
      <c r="O211" s="161" t="str">
        <f>IF(OR(AND($F211="Inflow",LEFT($E211,LEN(Prefix_Outflow))=Prefix_Outflow),AND($F211="Outflow",LEFT($E211,LEN(Prefix_Inflow))=Prefix_Inflow)),"Yes","No")</f>
        <v>No</v>
      </c>
      <c r="P211" s="161" t="str" cm="1">
        <f t="array" ref="P211">IF(AND(COUNTIF(Suspect_Categories,$E211)&gt;0,SUMPRODUCT(--ISNUMBER(SEARCH(Suspect_Keywords,$I211&amp;" "&amp;$J211)))&gt;0),"Yes","No")</f>
        <v>No</v>
      </c>
      <c r="Q211" s="161" t="str">
        <f t="shared" si="0"/>
        <v>No</v>
      </c>
    </row>
    <row r="212" spans="1:17" x14ac:dyDescent="0.3">
      <c r="A212" s="11"/>
      <c r="B212" s="157" cm="1">
        <f t="array" ref="B212">INDEX(tbl_Ledger[Row ID],ROWS($B$27:$B212))</f>
        <v>186</v>
      </c>
      <c r="C212" s="158" cm="1">
        <f t="array" ref="C212">INDEX(tbl_Ledger[Date],ROWS($B$27:$B212))</f>
        <v>46167</v>
      </c>
      <c r="D212" s="157" t="str" cm="1">
        <f t="array" ref="D212">IF(INDEX(tbl_Ledger[Invoice Number],ROWS($B$27:$B212))="","",INDEX(tbl_Ledger[Invoice Number],ROWS($B$27:$B212)))</f>
        <v>SIN-2026-0073</v>
      </c>
      <c r="E212" s="157" t="str" cm="1">
        <f t="array" ref="E212">INDEX(tbl_Ledger[Tax Category],ROWS($B$27:$B212))</f>
        <v>IN_EXEMPT</v>
      </c>
      <c r="F212" s="157" t="str" cm="1">
        <f t="array" ref="F212">INDEX(tbl_Ledger[Direction],ROWS($B$27:$B212))</f>
        <v>Outflow</v>
      </c>
      <c r="G212" s="159" cm="1">
        <f t="array" ref="G212">INDEX(tbl_Ledger[Tax Charged on Invoice],ROWS($B$27:$B212))</f>
        <v>0</v>
      </c>
      <c r="H212" s="159" cm="1">
        <f t="array" ref="H212">INDEX(tbl_Ledger[Expected Total Tax],ROWS($B$27:$B212))</f>
        <v>0</v>
      </c>
      <c r="I212" s="159" t="str" cm="1">
        <f t="array" ref="I212">INDEX(tbl_Ledger[Description],ROWS($B$27:$B212))</f>
        <v>Third-party liability cover premium</v>
      </c>
      <c r="J212" s="159" t="str" cm="1">
        <f t="array" ref="J212">INDEX(tbl_Ledger[Counterparty],ROWS($B$27:$B212))</f>
        <v>Pillar Insurance Ghana Ltd</v>
      </c>
      <c r="K212" s="160" t="str">
        <f>IF(COUNTIF(Dup_Exclusions,$E212)&gt;0,"No","Yes")</f>
        <v>Yes</v>
      </c>
      <c r="L212" s="161" t="str">
        <f>IF(AND($D212="",COUNTIF(NoInv_Exempt,$E212)=0),"Yes","No")</f>
        <v>No</v>
      </c>
      <c r="M212" s="161" t="str" cm="1">
        <f t="array" ref="M212">IF(AND($D212&lt;&gt;"",$K212="Yes"),IF(SUMPRODUCT((tbl_Ledger[Invoice Number]=$D212)*(COUNTIF(Dup_Exclusions,tbl_Ledger[Tax Category])=0))&gt;1,"Yes","No"),"No")</f>
        <v>No</v>
      </c>
      <c r="N212" s="161" t="str">
        <f>IF(ABS($G212-$H212)&gt;Tax_Tolerance,"Yes","No")</f>
        <v>No</v>
      </c>
      <c r="O212" s="161" t="str">
        <f>IF(OR(AND($F212="Inflow",LEFT($E212,LEN(Prefix_Outflow))=Prefix_Outflow),AND($F212="Outflow",LEFT($E212,LEN(Prefix_Inflow))=Prefix_Inflow)),"Yes","No")</f>
        <v>No</v>
      </c>
      <c r="P212" s="161" t="str" cm="1">
        <f t="array" ref="P212">IF(AND(COUNTIF(Suspect_Categories,$E212)&gt;0,SUMPRODUCT(--ISNUMBER(SEARCH(Suspect_Keywords,$I212&amp;" "&amp;$J212)))&gt;0),"Yes","No")</f>
        <v>No</v>
      </c>
      <c r="Q212" s="161" t="str">
        <f t="shared" si="0"/>
        <v>No</v>
      </c>
    </row>
    <row r="213" spans="1:17" x14ac:dyDescent="0.3">
      <c r="A213" s="11"/>
      <c r="B213" s="157" cm="1">
        <f t="array" ref="B213">INDEX(tbl_Ledger[Row ID],ROWS($B$27:$B213))</f>
        <v>187</v>
      </c>
      <c r="C213" s="158" cm="1">
        <f t="array" ref="C213">INDEX(tbl_Ledger[Date],ROWS($B$27:$B213))</f>
        <v>46167</v>
      </c>
      <c r="D213" s="157" t="str" cm="1">
        <f t="array" ref="D213">IF(INDEX(tbl_Ledger[Invoice Number],ROWS($B$27:$B213))="","",INDEX(tbl_Ledger[Invoice Number],ROWS($B$27:$B213)))</f>
        <v>SIN-2026-0074</v>
      </c>
      <c r="E213" s="157" t="str" cm="1">
        <f t="array" ref="E213">INDEX(tbl_Ledger[Tax Category],ROWS($B$27:$B213))</f>
        <v>IN_EXEMPT</v>
      </c>
      <c r="F213" s="157" t="str" cm="1">
        <f t="array" ref="F213">INDEX(tbl_Ledger[Direction],ROWS($B$27:$B213))</f>
        <v>Outflow</v>
      </c>
      <c r="G213" s="159" cm="1">
        <f t="array" ref="G213">INDEX(tbl_Ledger[Tax Charged on Invoice],ROWS($B$27:$B213))</f>
        <v>0</v>
      </c>
      <c r="H213" s="159" cm="1">
        <f t="array" ref="H213">INDEX(tbl_Ledger[Expected Total Tax],ROWS($B$27:$B213))</f>
        <v>0</v>
      </c>
      <c r="I213" s="159" t="str" cm="1">
        <f t="array" ref="I213">INDEX(tbl_Ledger[Description],ROWS($B$27:$B213))</f>
        <v>Diesel (AGO) purchased for own fleet use, 11,900 litres</v>
      </c>
      <c r="J213" s="159" t="str" cm="1">
        <f t="array" ref="J213">INDEX(tbl_Ledger[Counterparty],ROWS($B$27:$B213))</f>
        <v>Zenith Fuel Depot Ltd</v>
      </c>
      <c r="K213" s="160" t="str">
        <f>IF(COUNTIF(Dup_Exclusions,$E213)&gt;0,"No","Yes")</f>
        <v>Yes</v>
      </c>
      <c r="L213" s="161" t="str">
        <f>IF(AND($D213="",COUNTIF(NoInv_Exempt,$E213)=0),"Yes","No")</f>
        <v>No</v>
      </c>
      <c r="M213" s="161" t="str" cm="1">
        <f t="array" ref="M213">IF(AND($D213&lt;&gt;"",$K213="Yes"),IF(SUMPRODUCT((tbl_Ledger[Invoice Number]=$D213)*(COUNTIF(Dup_Exclusions,tbl_Ledger[Tax Category])=0))&gt;1,"Yes","No"),"No")</f>
        <v>No</v>
      </c>
      <c r="N213" s="161" t="str">
        <f>IF(ABS($G213-$H213)&gt;Tax_Tolerance,"Yes","No")</f>
        <v>No</v>
      </c>
      <c r="O213" s="161" t="str">
        <f>IF(OR(AND($F213="Inflow",LEFT($E213,LEN(Prefix_Outflow))=Prefix_Outflow),AND($F213="Outflow",LEFT($E213,LEN(Prefix_Inflow))=Prefix_Inflow)),"Yes","No")</f>
        <v>No</v>
      </c>
      <c r="P213" s="161" t="str" cm="1">
        <f t="array" ref="P213">IF(AND(COUNTIF(Suspect_Categories,$E213)&gt;0,SUMPRODUCT(--ISNUMBER(SEARCH(Suspect_Keywords,$I213&amp;" "&amp;$J213)))&gt;0),"Yes","No")</f>
        <v>No</v>
      </c>
      <c r="Q213" s="161" t="str">
        <f t="shared" si="0"/>
        <v>No</v>
      </c>
    </row>
    <row r="214" spans="1:17" x14ac:dyDescent="0.3">
      <c r="A214" s="11"/>
      <c r="B214" s="157" cm="1">
        <f t="array" ref="B214">INDEX(tbl_Ledger[Row ID],ROWS($B$27:$B214))</f>
        <v>188</v>
      </c>
      <c r="C214" s="158" cm="1">
        <f t="array" ref="C214">INDEX(tbl_Ledger[Date],ROWS($B$27:$B214))</f>
        <v>46167</v>
      </c>
      <c r="D214" s="157" t="str" cm="1">
        <f t="array" ref="D214">IF(INDEX(tbl_Ledger[Invoice Number],ROWS($B$27:$B214))="","",INDEX(tbl_Ledger[Invoice Number],ROWS($B$27:$B214)))</f>
        <v>NHL-2026-0073</v>
      </c>
      <c r="E214" s="157" t="str" cm="1">
        <f t="array" ref="E214">INDEX(tbl_Ledger[Tax Category],ROWS($B$27:$B214))</f>
        <v>OUT_STD</v>
      </c>
      <c r="F214" s="157" t="str" cm="1">
        <f t="array" ref="F214">INDEX(tbl_Ledger[Direction],ROWS($B$27:$B214))</f>
        <v>Inflow</v>
      </c>
      <c r="G214" s="159" cm="1">
        <f t="array" ref="G214">INDEX(tbl_Ledger[Tax Charged on Invoice],ROWS($B$27:$B214))</f>
        <v>12256.6</v>
      </c>
      <c r="H214" s="159" cm="1">
        <f t="array" ref="H214">INDEX(tbl_Ledger[Expected Total Tax],ROWS($B$27:$B214))</f>
        <v>12256.6</v>
      </c>
      <c r="I214" s="159" t="str" cm="1">
        <f t="array" ref="I214">INDEX(tbl_Ledger[Description],ROWS($B$27:$B214))</f>
        <v>Bulk haulage of LPG, Kumasi-Sunyani, 5 trips</v>
      </c>
      <c r="J214" s="159" t="str" cm="1">
        <f t="array" ref="J214">INDEX(tbl_Ledger[Counterparty],ROWS($B$27:$B214))</f>
        <v>Obuasi Fuel Distributors Ltd</v>
      </c>
      <c r="K214" s="160" t="str">
        <f>IF(COUNTIF(Dup_Exclusions,$E214)&gt;0,"No","Yes")</f>
        <v>Yes</v>
      </c>
      <c r="L214" s="161" t="str">
        <f>IF(AND($D214="",COUNTIF(NoInv_Exempt,$E214)=0),"Yes","No")</f>
        <v>No</v>
      </c>
      <c r="M214" s="161" t="str" cm="1">
        <f t="array" ref="M214">IF(AND($D214&lt;&gt;"",$K214="Yes"),IF(SUMPRODUCT((tbl_Ledger[Invoice Number]=$D214)*(COUNTIF(Dup_Exclusions,tbl_Ledger[Tax Category])=0))&gt;1,"Yes","No"),"No")</f>
        <v>No</v>
      </c>
      <c r="N214" s="161" t="str">
        <f>IF(ABS($G214-$H214)&gt;Tax_Tolerance,"Yes","No")</f>
        <v>No</v>
      </c>
      <c r="O214" s="161" t="str">
        <f>IF(OR(AND($F214="Inflow",LEFT($E214,LEN(Prefix_Outflow))=Prefix_Outflow),AND($F214="Outflow",LEFT($E214,LEN(Prefix_Inflow))=Prefix_Inflow)),"Yes","No")</f>
        <v>No</v>
      </c>
      <c r="P214" s="161" t="str" cm="1">
        <f t="array" ref="P214">IF(AND(COUNTIF(Suspect_Categories,$E214)&gt;0,SUMPRODUCT(--ISNUMBER(SEARCH(Suspect_Keywords,$I214&amp;" "&amp;$J214)))&gt;0),"Yes","No")</f>
        <v>No</v>
      </c>
      <c r="Q214" s="161" t="str">
        <f t="shared" si="0"/>
        <v>No</v>
      </c>
    </row>
    <row r="215" spans="1:17" x14ac:dyDescent="0.3">
      <c r="A215" s="11"/>
      <c r="B215" s="157" cm="1">
        <f t="array" ref="B215">INDEX(tbl_Ledger[Row ID],ROWS($B$27:$B215))</f>
        <v>189</v>
      </c>
      <c r="C215" s="158" cm="1">
        <f t="array" ref="C215">INDEX(tbl_Ledger[Date],ROWS($B$27:$B215))</f>
        <v>46169</v>
      </c>
      <c r="D215" s="157" t="str" cm="1">
        <f t="array" ref="D215">IF(INDEX(tbl_Ledger[Invoice Number],ROWS($B$27:$B215))="","",INDEX(tbl_Ledger[Invoice Number],ROWS($B$27:$B215)))</f>
        <v>SIN-2026-0075</v>
      </c>
      <c r="E215" s="157" t="str" cm="1">
        <f t="array" ref="E215">INDEX(tbl_Ledger[Tax Category],ROWS($B$27:$B215))</f>
        <v>IN_STD</v>
      </c>
      <c r="F215" s="157" t="str" cm="1">
        <f t="array" ref="F215">INDEX(tbl_Ledger[Direction],ROWS($B$27:$B215))</f>
        <v>Outflow</v>
      </c>
      <c r="G215" s="159" cm="1">
        <f t="array" ref="G215">INDEX(tbl_Ledger[Tax Charged on Invoice],ROWS($B$27:$B215))</f>
        <v>2787.8</v>
      </c>
      <c r="H215" s="159" cm="1">
        <f t="array" ref="H215">INDEX(tbl_Ledger[Expected Total Tax],ROWS($B$27:$B215))</f>
        <v>2787.7999999999997</v>
      </c>
      <c r="I215" s="159" t="str" cm="1">
        <f t="array" ref="I215">INDEX(tbl_Ledger[Description],ROWS($B$27:$B215))</f>
        <v>Truck spare parts and filters</v>
      </c>
      <c r="J215" s="159" t="str" cm="1">
        <f t="array" ref="J215">INDEX(tbl_Ledger[Counterparty],ROWS($B$27:$B215))</f>
        <v>Adom Telecom Ghana Ltd</v>
      </c>
      <c r="K215" s="160" t="str">
        <f>IF(COUNTIF(Dup_Exclusions,$E215)&gt;0,"No","Yes")</f>
        <v>Yes</v>
      </c>
      <c r="L215" s="161" t="str">
        <f>IF(AND($D215="",COUNTIF(NoInv_Exempt,$E215)=0),"Yes","No")</f>
        <v>No</v>
      </c>
      <c r="M215" s="161" t="str" cm="1">
        <f t="array" ref="M215">IF(AND($D215&lt;&gt;"",$K215="Yes"),IF(SUMPRODUCT((tbl_Ledger[Invoice Number]=$D215)*(COUNTIF(Dup_Exclusions,tbl_Ledger[Tax Category])=0))&gt;1,"Yes","No"),"No")</f>
        <v>No</v>
      </c>
      <c r="N215" s="161" t="str">
        <f>IF(ABS($G215-$H215)&gt;Tax_Tolerance,"Yes","No")</f>
        <v>No</v>
      </c>
      <c r="O215" s="161" t="str">
        <f>IF(OR(AND($F215="Inflow",LEFT($E215,LEN(Prefix_Outflow))=Prefix_Outflow),AND($F215="Outflow",LEFT($E215,LEN(Prefix_Inflow))=Prefix_Inflow)),"Yes","No")</f>
        <v>No</v>
      </c>
      <c r="P215" s="161" t="str" cm="1">
        <f t="array" ref="P215">IF(AND(COUNTIF(Suspect_Categories,$E215)&gt;0,SUMPRODUCT(--ISNUMBER(SEARCH(Suspect_Keywords,$I215&amp;" "&amp;$J215)))&gt;0),"Yes","No")</f>
        <v>No</v>
      </c>
      <c r="Q215" s="161" t="str">
        <f t="shared" si="0"/>
        <v>No</v>
      </c>
    </row>
    <row r="216" spans="1:17" x14ac:dyDescent="0.3">
      <c r="A216" s="11"/>
      <c r="B216" s="157" cm="1">
        <f t="array" ref="B216">INDEX(tbl_Ledger[Row ID],ROWS($B$27:$B216))</f>
        <v>190</v>
      </c>
      <c r="C216" s="158" cm="1">
        <f t="array" ref="C216">INDEX(tbl_Ledger[Date],ROWS($B$27:$B216))</f>
        <v>46170</v>
      </c>
      <c r="D216" s="157" t="str" cm="1">
        <f t="array" ref="D216">IF(INDEX(tbl_Ledger[Invoice Number],ROWS($B$27:$B216))="","",INDEX(tbl_Ledger[Invoice Number],ROWS($B$27:$B216)))</f>
        <v>SIN-2026-0076</v>
      </c>
      <c r="E216" s="157" t="str" cm="1">
        <f t="array" ref="E216">INDEX(tbl_Ledger[Tax Category],ROWS($B$27:$B216))</f>
        <v>IN_EXEMPT</v>
      </c>
      <c r="F216" s="157" t="str" cm="1">
        <f t="array" ref="F216">INDEX(tbl_Ledger[Direction],ROWS($B$27:$B216))</f>
        <v>Outflow</v>
      </c>
      <c r="G216" s="159" cm="1">
        <f t="array" ref="G216">INDEX(tbl_Ledger[Tax Charged on Invoice],ROWS($B$27:$B216))</f>
        <v>0</v>
      </c>
      <c r="H216" s="159" cm="1">
        <f t="array" ref="H216">INDEX(tbl_Ledger[Expected Total Tax],ROWS($B$27:$B216))</f>
        <v>0</v>
      </c>
      <c r="I216" s="159" t="str" cm="1">
        <f t="array" ref="I216">INDEX(tbl_Ledger[Description],ROWS($B$27:$B216))</f>
        <v>Goods-in-transit insurance premium</v>
      </c>
      <c r="J216" s="159" t="str" cm="1">
        <f t="array" ref="J216">INDEX(tbl_Ledger[Counterparty],ROWS($B$27:$B216))</f>
        <v>Unity Assurance Ltd</v>
      </c>
      <c r="K216" s="160" t="str">
        <f>IF(COUNTIF(Dup_Exclusions,$E216)&gt;0,"No","Yes")</f>
        <v>Yes</v>
      </c>
      <c r="L216" s="161" t="str">
        <f>IF(AND($D216="",COUNTIF(NoInv_Exempt,$E216)=0),"Yes","No")</f>
        <v>No</v>
      </c>
      <c r="M216" s="161" t="str" cm="1">
        <f t="array" ref="M216">IF(AND($D216&lt;&gt;"",$K216="Yes"),IF(SUMPRODUCT((tbl_Ledger[Invoice Number]=$D216)*(COUNTIF(Dup_Exclusions,tbl_Ledger[Tax Category])=0))&gt;1,"Yes","No"),"No")</f>
        <v>No</v>
      </c>
      <c r="N216" s="161" t="str">
        <f>IF(ABS($G216-$H216)&gt;Tax_Tolerance,"Yes","No")</f>
        <v>No</v>
      </c>
      <c r="O216" s="161" t="str">
        <f>IF(OR(AND($F216="Inflow",LEFT($E216,LEN(Prefix_Outflow))=Prefix_Outflow),AND($F216="Outflow",LEFT($E216,LEN(Prefix_Inflow))=Prefix_Inflow)),"Yes","No")</f>
        <v>No</v>
      </c>
      <c r="P216" s="161" t="str" cm="1">
        <f t="array" ref="P216">IF(AND(COUNTIF(Suspect_Categories,$E216)&gt;0,SUMPRODUCT(--ISNUMBER(SEARCH(Suspect_Keywords,$I216&amp;" "&amp;$J216)))&gt;0),"Yes","No")</f>
        <v>No</v>
      </c>
      <c r="Q216" s="161" t="str">
        <f t="shared" si="0"/>
        <v>No</v>
      </c>
    </row>
    <row r="217" spans="1:17" x14ac:dyDescent="0.3">
      <c r="A217" s="11"/>
      <c r="B217" s="157" cm="1">
        <f t="array" ref="B217">INDEX(tbl_Ledger[Row ID],ROWS($B$27:$B217))</f>
        <v>191</v>
      </c>
      <c r="C217" s="158" cm="1">
        <f t="array" ref="C217">INDEX(tbl_Ledger[Date],ROWS($B$27:$B217))</f>
        <v>46171</v>
      </c>
      <c r="D217" s="157" t="str" cm="1">
        <f t="array" ref="D217">IF(INDEX(tbl_Ledger[Invoice Number],ROWS($B$27:$B217))="","",INDEX(tbl_Ledger[Invoice Number],ROWS($B$27:$B217)))</f>
        <v>NHL-2026-0074</v>
      </c>
      <c r="E217" s="157" t="str" cm="1">
        <f t="array" ref="E217">INDEX(tbl_Ledger[Tax Category],ROWS($B$27:$B217))</f>
        <v>OUT_STD</v>
      </c>
      <c r="F217" s="157" t="str" cm="1">
        <f t="array" ref="F217">INDEX(tbl_Ledger[Direction],ROWS($B$27:$B217))</f>
        <v>Inflow</v>
      </c>
      <c r="G217" s="159" cm="1">
        <f t="array" ref="G217">INDEX(tbl_Ledger[Tax Charged on Invoice],ROWS($B$27:$B217))</f>
        <v>10322.6</v>
      </c>
      <c r="H217" s="159" cm="1">
        <f t="array" ref="H217">INDEX(tbl_Ledger[Expected Total Tax],ROWS($B$27:$B217))</f>
        <v>10322.6</v>
      </c>
      <c r="I217" s="159" t="str" cm="1">
        <f t="array" ref="I217">INDEX(tbl_Ledger[Description],ROWS($B$27:$B217))</f>
        <v>Bulk haulage of PMS, Tema-Takoradi, 8 trips</v>
      </c>
      <c r="J217" s="159" t="str" cm="1">
        <f t="array" ref="J217">INDEX(tbl_Ledger[Counterparty],ROWS($B$27:$B217))</f>
        <v>Northern Star BDC Ltd</v>
      </c>
      <c r="K217" s="160" t="str">
        <f>IF(COUNTIF(Dup_Exclusions,$E217)&gt;0,"No","Yes")</f>
        <v>Yes</v>
      </c>
      <c r="L217" s="161" t="str">
        <f>IF(AND($D217="",COUNTIF(NoInv_Exempt,$E217)=0),"Yes","No")</f>
        <v>No</v>
      </c>
      <c r="M217" s="161" t="str" cm="1">
        <f t="array" ref="M217">IF(AND($D217&lt;&gt;"",$K217="Yes"),IF(SUMPRODUCT((tbl_Ledger[Invoice Number]=$D217)*(COUNTIF(Dup_Exclusions,tbl_Ledger[Tax Category])=0))&gt;1,"Yes","No"),"No")</f>
        <v>No</v>
      </c>
      <c r="N217" s="161" t="str">
        <f>IF(ABS($G217-$H217)&gt;Tax_Tolerance,"Yes","No")</f>
        <v>No</v>
      </c>
      <c r="O217" s="161" t="str">
        <f>IF(OR(AND($F217="Inflow",LEFT($E217,LEN(Prefix_Outflow))=Prefix_Outflow),AND($F217="Outflow",LEFT($E217,LEN(Prefix_Inflow))=Prefix_Inflow)),"Yes","No")</f>
        <v>No</v>
      </c>
      <c r="P217" s="161" t="str" cm="1">
        <f t="array" ref="P217">IF(AND(COUNTIF(Suspect_Categories,$E217)&gt;0,SUMPRODUCT(--ISNUMBER(SEARCH(Suspect_Keywords,$I217&amp;" "&amp;$J217)))&gt;0),"Yes","No")</f>
        <v>No</v>
      </c>
      <c r="Q217" s="161" t="str">
        <f t="shared" si="0"/>
        <v>No</v>
      </c>
    </row>
    <row r="218" spans="1:17" x14ac:dyDescent="0.3">
      <c r="A218" s="11"/>
      <c r="B218" s="157" cm="1">
        <f t="array" ref="B218">INDEX(tbl_Ledger[Row ID],ROWS($B$27:$B218))</f>
        <v>192</v>
      </c>
      <c r="C218" s="158" cm="1">
        <f t="array" ref="C218">INDEX(tbl_Ledger[Date],ROWS($B$27:$B218))</f>
        <v>46172</v>
      </c>
      <c r="D218" s="157" t="str" cm="1">
        <f t="array" ref="D218">IF(INDEX(tbl_Ledger[Invoice Number],ROWS($B$27:$B218))="","",INDEX(tbl_Ledger[Invoice Number],ROWS($B$27:$B218)))</f>
        <v>SIN-2026-0077</v>
      </c>
      <c r="E218" s="157" t="str" cm="1">
        <f t="array" ref="E218">INDEX(tbl_Ledger[Tax Category],ROWS($B$27:$B218))</f>
        <v>IN_EXEMPT</v>
      </c>
      <c r="F218" s="157" t="str" cm="1">
        <f t="array" ref="F218">INDEX(tbl_Ledger[Direction],ROWS($B$27:$B218))</f>
        <v>Outflow</v>
      </c>
      <c r="G218" s="159" cm="1">
        <f t="array" ref="G218">INDEX(tbl_Ledger[Tax Charged on Invoice],ROWS($B$27:$B218))</f>
        <v>0</v>
      </c>
      <c r="H218" s="159" cm="1">
        <f t="array" ref="H218">INDEX(tbl_Ledger[Expected Total Tax],ROWS($B$27:$B218))</f>
        <v>0</v>
      </c>
      <c r="I218" s="159" t="str" cm="1">
        <f t="array" ref="I218">INDEX(tbl_Ledger[Description],ROWS($B$27:$B218))</f>
        <v>Diesel (AGO) purchased for own fleet use, 10,689 litres</v>
      </c>
      <c r="J218" s="159" t="str" cm="1">
        <f t="array" ref="J218">INDEX(tbl_Ledger[Counterparty],ROWS($B$27:$B218))</f>
        <v>Zenith Fuel Depot Ltd</v>
      </c>
      <c r="K218" s="160" t="str">
        <f>IF(COUNTIF(Dup_Exclusions,$E218)&gt;0,"No","Yes")</f>
        <v>Yes</v>
      </c>
      <c r="L218" s="161" t="str">
        <f>IF(AND($D218="",COUNTIF(NoInv_Exempt,$E218)=0),"Yes","No")</f>
        <v>No</v>
      </c>
      <c r="M218" s="161" t="str" cm="1">
        <f t="array" ref="M218">IF(AND($D218&lt;&gt;"",$K218="Yes"),IF(SUMPRODUCT((tbl_Ledger[Invoice Number]=$D218)*(COUNTIF(Dup_Exclusions,tbl_Ledger[Tax Category])=0))&gt;1,"Yes","No"),"No")</f>
        <v>No</v>
      </c>
      <c r="N218" s="161" t="str">
        <f>IF(ABS($G218-$H218)&gt;Tax_Tolerance,"Yes","No")</f>
        <v>No</v>
      </c>
      <c r="O218" s="161" t="str">
        <f>IF(OR(AND($F218="Inflow",LEFT($E218,LEN(Prefix_Outflow))=Prefix_Outflow),AND($F218="Outflow",LEFT($E218,LEN(Prefix_Inflow))=Prefix_Inflow)),"Yes","No")</f>
        <v>No</v>
      </c>
      <c r="P218" s="161" t="str" cm="1">
        <f t="array" ref="P218">IF(AND(COUNTIF(Suspect_Categories,$E218)&gt;0,SUMPRODUCT(--ISNUMBER(SEARCH(Suspect_Keywords,$I218&amp;" "&amp;$J218)))&gt;0),"Yes","No")</f>
        <v>No</v>
      </c>
      <c r="Q218" s="161" t="str">
        <f t="shared" si="0"/>
        <v>No</v>
      </c>
    </row>
    <row r="219" spans="1:17" x14ac:dyDescent="0.3">
      <c r="A219" s="11"/>
      <c r="B219" s="157" cm="1">
        <f t="array" ref="B219">INDEX(tbl_Ledger[Row ID],ROWS($B$27:$B219))</f>
        <v>193</v>
      </c>
      <c r="C219" s="158" cm="1">
        <f t="array" ref="C219">INDEX(tbl_Ledger[Date],ROWS($B$27:$B219))</f>
        <v>46172</v>
      </c>
      <c r="D219" s="157" t="str" cm="1">
        <f t="array" ref="D219">IF(INDEX(tbl_Ledger[Invoice Number],ROWS($B$27:$B219))="","",INDEX(tbl_Ledger[Invoice Number],ROWS($B$27:$B219)))</f>
        <v>SIN-2026-0078</v>
      </c>
      <c r="E219" s="157" t="str" cm="1">
        <f t="array" ref="E219">INDEX(tbl_Ledger[Tax Category],ROWS($B$27:$B219))</f>
        <v>IN_STD</v>
      </c>
      <c r="F219" s="157" t="str" cm="1">
        <f t="array" ref="F219">INDEX(tbl_Ledger[Direction],ROWS($B$27:$B219))</f>
        <v>Outflow</v>
      </c>
      <c r="G219" s="159" cm="1">
        <f t="array" ref="G219">INDEX(tbl_Ledger[Tax Charged on Invoice],ROWS($B$27:$B219))</f>
        <v>3991.4</v>
      </c>
      <c r="H219" s="159" cm="1">
        <f t="array" ref="H219">INDEX(tbl_Ledger[Expected Total Tax],ROWS($B$27:$B219))</f>
        <v>3991.4</v>
      </c>
      <c r="I219" s="159" t="str" cm="1">
        <f t="array" ref="I219">INDEX(tbl_Ledger[Description],ROWS($B$27:$B219))</f>
        <v>Fleet servicing and workshop labour</v>
      </c>
      <c r="J219" s="159" t="str" cm="1">
        <f t="array" ref="J219">INDEX(tbl_Ledger[Counterparty],ROWS($B$27:$B219))</f>
        <v>Pinnacle Office Supplies Ltd</v>
      </c>
      <c r="K219" s="160" t="str">
        <f>IF(COUNTIF(Dup_Exclusions,$E219)&gt;0,"No","Yes")</f>
        <v>Yes</v>
      </c>
      <c r="L219" s="161" t="str">
        <f>IF(AND($D219="",COUNTIF(NoInv_Exempt,$E219)=0),"Yes","No")</f>
        <v>No</v>
      </c>
      <c r="M219" s="161" t="str" cm="1">
        <f t="array" ref="M219">IF(AND($D219&lt;&gt;"",$K219="Yes"),IF(SUMPRODUCT((tbl_Ledger[Invoice Number]=$D219)*(COUNTIF(Dup_Exclusions,tbl_Ledger[Tax Category])=0))&gt;1,"Yes","No"),"No")</f>
        <v>No</v>
      </c>
      <c r="N219" s="161" t="str">
        <f>IF(ABS($G219-$H219)&gt;Tax_Tolerance,"Yes","No")</f>
        <v>No</v>
      </c>
      <c r="O219" s="161" t="str">
        <f>IF(OR(AND($F219="Inflow",LEFT($E219,LEN(Prefix_Outflow))=Prefix_Outflow),AND($F219="Outflow",LEFT($E219,LEN(Prefix_Inflow))=Prefix_Inflow)),"Yes","No")</f>
        <v>No</v>
      </c>
      <c r="P219" s="161" t="str" cm="1">
        <f t="array" ref="P219">IF(AND(COUNTIF(Suspect_Categories,$E219)&gt;0,SUMPRODUCT(--ISNUMBER(SEARCH(Suspect_Keywords,$I219&amp;" "&amp;$J219)))&gt;0),"Yes","No")</f>
        <v>No</v>
      </c>
      <c r="Q219" s="161" t="str">
        <f t="shared" ref="Q219:Q282" si="1">IF(COUNTIF($L219:$P219,"Yes")&gt;0,"Yes","No")</f>
        <v>No</v>
      </c>
    </row>
    <row r="220" spans="1:17" x14ac:dyDescent="0.3">
      <c r="A220" s="11"/>
      <c r="B220" s="157" cm="1">
        <f t="array" ref="B220">INDEX(tbl_Ledger[Row ID],ROWS($B$27:$B220))</f>
        <v>194</v>
      </c>
      <c r="C220" s="158" cm="1">
        <f t="array" ref="C220">INDEX(tbl_Ledger[Date],ROWS($B$27:$B220))</f>
        <v>46173</v>
      </c>
      <c r="D220" s="157" t="str" cm="1">
        <f t="array" ref="D220">IF(INDEX(tbl_Ledger[Invoice Number],ROWS($B$27:$B220))="","",INDEX(tbl_Ledger[Invoice Number],ROWS($B$27:$B220)))</f>
        <v>SIN-2026-0079</v>
      </c>
      <c r="E220" s="157" t="str" cm="1">
        <f t="array" ref="E220">INDEX(tbl_Ledger[Tax Category],ROWS($B$27:$B220))</f>
        <v>IN_NONDED</v>
      </c>
      <c r="F220" s="157" t="str" cm="1">
        <f t="array" ref="F220">INDEX(tbl_Ledger[Direction],ROWS($B$27:$B220))</f>
        <v>Outflow</v>
      </c>
      <c r="G220" s="159" cm="1">
        <f t="array" ref="G220">INDEX(tbl_Ledger[Tax Charged on Invoice],ROWS($B$27:$B220))</f>
        <v>433.8</v>
      </c>
      <c r="H220" s="159" cm="1">
        <f t="array" ref="H220">INDEX(tbl_Ledger[Expected Total Tax],ROWS($B$27:$B220))</f>
        <v>433.8</v>
      </c>
      <c r="I220" s="159" t="str" cm="1">
        <f t="array" ref="I220">INDEX(tbl_Ledger[Description],ROWS($B$27:$B220))</f>
        <v>Passenger vehicle running costs - management car</v>
      </c>
      <c r="J220" s="159" t="str" cm="1">
        <f t="array" ref="J220">INDEX(tbl_Ledger[Counterparty],ROWS($B$27:$B220))</f>
        <v>Executive Motors Ltd</v>
      </c>
      <c r="K220" s="160" t="str">
        <f>IF(COUNTIF(Dup_Exclusions,$E220)&gt;0,"No","Yes")</f>
        <v>Yes</v>
      </c>
      <c r="L220" s="161" t="str">
        <f>IF(AND($D220="",COUNTIF(NoInv_Exempt,$E220)=0),"Yes","No")</f>
        <v>No</v>
      </c>
      <c r="M220" s="161" t="str" cm="1">
        <f t="array" ref="M220">IF(AND($D220&lt;&gt;"",$K220="Yes"),IF(SUMPRODUCT((tbl_Ledger[Invoice Number]=$D220)*(COUNTIF(Dup_Exclusions,tbl_Ledger[Tax Category])=0))&gt;1,"Yes","No"),"No")</f>
        <v>No</v>
      </c>
      <c r="N220" s="161" t="str">
        <f>IF(ABS($G220-$H220)&gt;Tax_Tolerance,"Yes","No")</f>
        <v>No</v>
      </c>
      <c r="O220" s="161" t="str">
        <f>IF(OR(AND($F220="Inflow",LEFT($E220,LEN(Prefix_Outflow))=Prefix_Outflow),AND($F220="Outflow",LEFT($E220,LEN(Prefix_Inflow))=Prefix_Inflow)),"Yes","No")</f>
        <v>No</v>
      </c>
      <c r="P220" s="161" t="str" cm="1">
        <f t="array" ref="P220">IF(AND(COUNTIF(Suspect_Categories,$E220)&gt;0,SUMPRODUCT(--ISNUMBER(SEARCH(Suspect_Keywords,$I220&amp;" "&amp;$J220)))&gt;0),"Yes","No")</f>
        <v>No</v>
      </c>
      <c r="Q220" s="161" t="str">
        <f t="shared" si="1"/>
        <v>No</v>
      </c>
    </row>
    <row r="221" spans="1:17" x14ac:dyDescent="0.3">
      <c r="A221" s="11"/>
      <c r="B221" s="157" cm="1">
        <f t="array" ref="B221">INDEX(tbl_Ledger[Row ID],ROWS($B$27:$B221))</f>
        <v>195</v>
      </c>
      <c r="C221" s="158" cm="1">
        <f t="array" ref="C221">INDEX(tbl_Ledger[Date],ROWS($B$27:$B221))</f>
        <v>46173</v>
      </c>
      <c r="D221" s="157" t="str" cm="1">
        <f t="array" ref="D221">IF(INDEX(tbl_Ledger[Invoice Number],ROWS($B$27:$B221))="","",INDEX(tbl_Ledger[Invoice Number],ROWS($B$27:$B221)))</f>
        <v>PAY-2026-0005</v>
      </c>
      <c r="E221" s="157" t="str" cm="1">
        <f t="array" ref="E221">INDEX(tbl_Ledger[Tax Category],ROWS($B$27:$B221))</f>
        <v>NO_VAT</v>
      </c>
      <c r="F221" s="157" t="str" cm="1">
        <f t="array" ref="F221">INDEX(tbl_Ledger[Direction],ROWS($B$27:$B221))</f>
        <v>Outflow</v>
      </c>
      <c r="G221" s="159" cm="1">
        <f t="array" ref="G221">INDEX(tbl_Ledger[Tax Charged on Invoice],ROWS($B$27:$B221))</f>
        <v>0</v>
      </c>
      <c r="H221" s="159" cm="1">
        <f t="array" ref="H221">INDEX(tbl_Ledger[Expected Total Tax],ROWS($B$27:$B221))</f>
        <v>0</v>
      </c>
      <c r="I221" s="159" t="str" cm="1">
        <f t="array" ref="I221">INDEX(tbl_Ledger[Description],ROWS($B$27:$B221))</f>
        <v>Staff salaries and wages - May</v>
      </c>
      <c r="J221" s="159" t="str" cm="1">
        <f t="array" ref="J221">INDEX(tbl_Ledger[Counterparty],ROWS($B$27:$B221))</f>
        <v>Nkabom Haulage Payroll</v>
      </c>
      <c r="K221" s="160" t="str">
        <f>IF(COUNTIF(Dup_Exclusions,$E221)&gt;0,"No","Yes")</f>
        <v>Yes</v>
      </c>
      <c r="L221" s="161" t="str">
        <f>IF(AND($D221="",COUNTIF(NoInv_Exempt,$E221)=0),"Yes","No")</f>
        <v>No</v>
      </c>
      <c r="M221" s="161" t="str" cm="1">
        <f t="array" ref="M221">IF(AND($D221&lt;&gt;"",$K221="Yes"),IF(SUMPRODUCT((tbl_Ledger[Invoice Number]=$D221)*(COUNTIF(Dup_Exclusions,tbl_Ledger[Tax Category])=0))&gt;1,"Yes","No"),"No")</f>
        <v>No</v>
      </c>
      <c r="N221" s="161" t="str">
        <f>IF(ABS($G221-$H221)&gt;Tax_Tolerance,"Yes","No")</f>
        <v>No</v>
      </c>
      <c r="O221" s="161" t="str">
        <f>IF(OR(AND($F221="Inflow",LEFT($E221,LEN(Prefix_Outflow))=Prefix_Outflow),AND($F221="Outflow",LEFT($E221,LEN(Prefix_Inflow))=Prefix_Inflow)),"Yes","No")</f>
        <v>No</v>
      </c>
      <c r="P221" s="161" t="str" cm="1">
        <f t="array" ref="P221">IF(AND(COUNTIF(Suspect_Categories,$E221)&gt;0,SUMPRODUCT(--ISNUMBER(SEARCH(Suspect_Keywords,$I221&amp;" "&amp;$J221)))&gt;0),"Yes","No")</f>
        <v>No</v>
      </c>
      <c r="Q221" s="161" t="str">
        <f t="shared" si="1"/>
        <v>No</v>
      </c>
    </row>
    <row r="222" spans="1:17" x14ac:dyDescent="0.3">
      <c r="A222" s="11"/>
      <c r="B222" s="157" cm="1">
        <f t="array" ref="B222">INDEX(tbl_Ledger[Row ID],ROWS($B$27:$B222))</f>
        <v>196</v>
      </c>
      <c r="C222" s="158" cm="1">
        <f t="array" ref="C222">INDEX(tbl_Ledger[Date],ROWS($B$27:$B222))</f>
        <v>46174</v>
      </c>
      <c r="D222" s="157" t="str" cm="1">
        <f t="array" ref="D222">IF(INDEX(tbl_Ledger[Invoice Number],ROWS($B$27:$B222))="","",INDEX(tbl_Ledger[Invoice Number],ROWS($B$27:$B222)))</f>
        <v>SIN-2026-0080</v>
      </c>
      <c r="E222" s="157" t="str" cm="1">
        <f t="array" ref="E222">INDEX(tbl_Ledger[Tax Category],ROWS($B$27:$B222))</f>
        <v>IN_EXEMPT</v>
      </c>
      <c r="F222" s="157" t="str" cm="1">
        <f t="array" ref="F222">INDEX(tbl_Ledger[Direction],ROWS($B$27:$B222))</f>
        <v>Outflow</v>
      </c>
      <c r="G222" s="159" cm="1">
        <f t="array" ref="G222">INDEX(tbl_Ledger[Tax Charged on Invoice],ROWS($B$27:$B222))</f>
        <v>0</v>
      </c>
      <c r="H222" s="159" cm="1">
        <f t="array" ref="H222">INDEX(tbl_Ledger[Expected Total Tax],ROWS($B$27:$B222))</f>
        <v>0</v>
      </c>
      <c r="I222" s="159" t="str" cm="1">
        <f t="array" ref="I222">INDEX(tbl_Ledger[Description],ROWS($B$27:$B222))</f>
        <v>Diesel (AGO) purchased for own fleet use, 16,878 litres</v>
      </c>
      <c r="J222" s="159" t="str" cm="1">
        <f t="array" ref="J222">INDEX(tbl_Ledger[Counterparty],ROWS($B$27:$B222))</f>
        <v>Zenith Fuel Depot Ltd</v>
      </c>
      <c r="K222" s="160" t="str">
        <f>IF(COUNTIF(Dup_Exclusions,$E222)&gt;0,"No","Yes")</f>
        <v>Yes</v>
      </c>
      <c r="L222" s="161" t="str">
        <f>IF(AND($D222="",COUNTIF(NoInv_Exempt,$E222)=0),"Yes","No")</f>
        <v>No</v>
      </c>
      <c r="M222" s="161" t="str" cm="1">
        <f t="array" ref="M222">IF(AND($D222&lt;&gt;"",$K222="Yes"),IF(SUMPRODUCT((tbl_Ledger[Invoice Number]=$D222)*(COUNTIF(Dup_Exclusions,tbl_Ledger[Tax Category])=0))&gt;1,"Yes","No"),"No")</f>
        <v>No</v>
      </c>
      <c r="N222" s="161" t="str">
        <f>IF(ABS($G222-$H222)&gt;Tax_Tolerance,"Yes","No")</f>
        <v>No</v>
      </c>
      <c r="O222" s="161" t="str">
        <f>IF(OR(AND($F222="Inflow",LEFT($E222,LEN(Prefix_Outflow))=Prefix_Outflow),AND($F222="Outflow",LEFT($E222,LEN(Prefix_Inflow))=Prefix_Inflow)),"Yes","No")</f>
        <v>No</v>
      </c>
      <c r="P222" s="161" t="str" cm="1">
        <f t="array" ref="P222">IF(AND(COUNTIF(Suspect_Categories,$E222)&gt;0,SUMPRODUCT(--ISNUMBER(SEARCH(Suspect_Keywords,$I222&amp;" "&amp;$J222)))&gt;0),"Yes","No")</f>
        <v>No</v>
      </c>
      <c r="Q222" s="161" t="str">
        <f t="shared" si="1"/>
        <v>No</v>
      </c>
    </row>
    <row r="223" spans="1:17" x14ac:dyDescent="0.3">
      <c r="A223" s="11"/>
      <c r="B223" s="157" cm="1">
        <f t="array" ref="B223">INDEX(tbl_Ledger[Row ID],ROWS($B$27:$B223))</f>
        <v>197</v>
      </c>
      <c r="C223" s="158" cm="1">
        <f t="array" ref="C223">INDEX(tbl_Ledger[Date],ROWS($B$27:$B223))</f>
        <v>46178</v>
      </c>
      <c r="D223" s="157" t="str" cm="1">
        <f t="array" ref="D223">IF(INDEX(tbl_Ledger[Invoice Number],ROWS($B$27:$B223))="","",INDEX(tbl_Ledger[Invoice Number],ROWS($B$27:$B223)))</f>
        <v>SIN-2026-0081</v>
      </c>
      <c r="E223" s="157" t="str" cm="1">
        <f t="array" ref="E223">INDEX(tbl_Ledger[Tax Category],ROWS($B$27:$B223))</f>
        <v>IN_STD</v>
      </c>
      <c r="F223" s="157" t="str" cm="1">
        <f t="array" ref="F223">INDEX(tbl_Ledger[Direction],ROWS($B$27:$B223))</f>
        <v>Outflow</v>
      </c>
      <c r="G223" s="159" cm="1">
        <f t="array" ref="G223">INDEX(tbl_Ledger[Tax Charged on Invoice],ROWS($B$27:$B223))</f>
        <v>556.4</v>
      </c>
      <c r="H223" s="159" cm="1">
        <f t="array" ref="H223">INDEX(tbl_Ledger[Expected Total Tax],ROWS($B$27:$B223))</f>
        <v>556.4</v>
      </c>
      <c r="I223" s="159" t="str" cm="1">
        <f t="array" ref="I223">INDEX(tbl_Ledger[Description],ROWS($B$27:$B223))</f>
        <v>Office stationery and printing</v>
      </c>
      <c r="J223" s="159" t="str" cm="1">
        <f t="array" ref="J223">INDEX(tbl_Ledger[Counterparty],ROWS($B$27:$B223))</f>
        <v>Bono Workshop Services Ltd</v>
      </c>
      <c r="K223" s="160" t="str">
        <f>IF(COUNTIF(Dup_Exclusions,$E223)&gt;0,"No","Yes")</f>
        <v>Yes</v>
      </c>
      <c r="L223" s="161" t="str">
        <f>IF(AND($D223="",COUNTIF(NoInv_Exempt,$E223)=0),"Yes","No")</f>
        <v>No</v>
      </c>
      <c r="M223" s="161" t="str" cm="1">
        <f t="array" ref="M223">IF(AND($D223&lt;&gt;"",$K223="Yes"),IF(SUMPRODUCT((tbl_Ledger[Invoice Number]=$D223)*(COUNTIF(Dup_Exclusions,tbl_Ledger[Tax Category])=0))&gt;1,"Yes","No"),"No")</f>
        <v>Yes</v>
      </c>
      <c r="N223" s="161" t="str">
        <f>IF(ABS($G223-$H223)&gt;Tax_Tolerance,"Yes","No")</f>
        <v>No</v>
      </c>
      <c r="O223" s="161" t="str">
        <f>IF(OR(AND($F223="Inflow",LEFT($E223,LEN(Prefix_Outflow))=Prefix_Outflow),AND($F223="Outflow",LEFT($E223,LEN(Prefix_Inflow))=Prefix_Inflow)),"Yes","No")</f>
        <v>No</v>
      </c>
      <c r="P223" s="161" t="str" cm="1">
        <f t="array" ref="P223">IF(AND(COUNTIF(Suspect_Categories,$E223)&gt;0,SUMPRODUCT(--ISNUMBER(SEARCH(Suspect_Keywords,$I223&amp;" "&amp;$J223)))&gt;0),"Yes","No")</f>
        <v>No</v>
      </c>
      <c r="Q223" s="161" t="str">
        <f t="shared" si="1"/>
        <v>Yes</v>
      </c>
    </row>
    <row r="224" spans="1:17" x14ac:dyDescent="0.3">
      <c r="A224" s="11"/>
      <c r="B224" s="157" cm="1">
        <f t="array" ref="B224">INDEX(tbl_Ledger[Row ID],ROWS($B$27:$B224))</f>
        <v>198</v>
      </c>
      <c r="C224" s="158" cm="1">
        <f t="array" ref="C224">INDEX(tbl_Ledger[Date],ROWS($B$27:$B224))</f>
        <v>46178</v>
      </c>
      <c r="D224" s="157" t="str" cm="1">
        <f t="array" ref="D224">IF(INDEX(tbl_Ledger[Invoice Number],ROWS($B$27:$B224))="","",INDEX(tbl_Ledger[Invoice Number],ROWS($B$27:$B224)))</f>
        <v>NHL-2026-0075</v>
      </c>
      <c r="E224" s="157" t="str" cm="1">
        <f t="array" ref="E224">INDEX(tbl_Ledger[Tax Category],ROWS($B$27:$B224))</f>
        <v>OUT_STD</v>
      </c>
      <c r="F224" s="157" t="str" cm="1">
        <f t="array" ref="F224">INDEX(tbl_Ledger[Direction],ROWS($B$27:$B224))</f>
        <v>Inflow</v>
      </c>
      <c r="G224" s="159" cm="1">
        <f t="array" ref="G224">INDEX(tbl_Ledger[Tax Charged on Invoice],ROWS($B$27:$B224))</f>
        <v>15797</v>
      </c>
      <c r="H224" s="159" cm="1">
        <f t="array" ref="H224">INDEX(tbl_Ledger[Expected Total Tax],ROWS($B$27:$B224))</f>
        <v>15797</v>
      </c>
      <c r="I224" s="159" t="str" cm="1">
        <f t="array" ref="I224">INDEX(tbl_Ledger[Description],ROWS($B$27:$B224))</f>
        <v>Bulk haulage of ATK, Tema-Bolgatanga, 5 trips</v>
      </c>
      <c r="J224" s="159" t="str" cm="1">
        <f t="array" ref="J224">INDEX(tbl_Ledger[Counterparty],ROWS($B$27:$B224))</f>
        <v>Golden Harmattan Energy Ltd</v>
      </c>
      <c r="K224" s="160" t="str">
        <f>IF(COUNTIF(Dup_Exclusions,$E224)&gt;0,"No","Yes")</f>
        <v>Yes</v>
      </c>
      <c r="L224" s="161" t="str">
        <f>IF(AND($D224="",COUNTIF(NoInv_Exempt,$E224)=0),"Yes","No")</f>
        <v>No</v>
      </c>
      <c r="M224" s="161" t="str" cm="1">
        <f t="array" ref="M224">IF(AND($D224&lt;&gt;"",$K224="Yes"),IF(SUMPRODUCT((tbl_Ledger[Invoice Number]=$D224)*(COUNTIF(Dup_Exclusions,tbl_Ledger[Tax Category])=0))&gt;1,"Yes","No"),"No")</f>
        <v>No</v>
      </c>
      <c r="N224" s="161" t="str">
        <f>IF(ABS($G224-$H224)&gt;Tax_Tolerance,"Yes","No")</f>
        <v>No</v>
      </c>
      <c r="O224" s="161" t="str">
        <f>IF(OR(AND($F224="Inflow",LEFT($E224,LEN(Prefix_Outflow))=Prefix_Outflow),AND($F224="Outflow",LEFT($E224,LEN(Prefix_Inflow))=Prefix_Inflow)),"Yes","No")</f>
        <v>No</v>
      </c>
      <c r="P224" s="161" t="str" cm="1">
        <f t="array" ref="P224">IF(AND(COUNTIF(Suspect_Categories,$E224)&gt;0,SUMPRODUCT(--ISNUMBER(SEARCH(Suspect_Keywords,$I224&amp;" "&amp;$J224)))&gt;0),"Yes","No")</f>
        <v>No</v>
      </c>
      <c r="Q224" s="161" t="str">
        <f t="shared" si="1"/>
        <v>No</v>
      </c>
    </row>
    <row r="225" spans="1:17" x14ac:dyDescent="0.3">
      <c r="A225" s="11"/>
      <c r="B225" s="157" cm="1">
        <f t="array" ref="B225">INDEX(tbl_Ledger[Row ID],ROWS($B$27:$B225))</f>
        <v>199</v>
      </c>
      <c r="C225" s="158" cm="1">
        <f t="array" ref="C225">INDEX(tbl_Ledger[Date],ROWS($B$27:$B225))</f>
        <v>46181</v>
      </c>
      <c r="D225" s="157" t="str" cm="1">
        <f t="array" ref="D225">IF(INDEX(tbl_Ledger[Invoice Number],ROWS($B$27:$B225))="","",INDEX(tbl_Ledger[Invoice Number],ROWS($B$27:$B225)))</f>
        <v>SIN-2026-0082</v>
      </c>
      <c r="E225" s="157" t="str" cm="1">
        <f t="array" ref="E225">INDEX(tbl_Ledger[Tax Category],ROWS($B$27:$B225))</f>
        <v>IN_EXEMPT</v>
      </c>
      <c r="F225" s="157" t="str" cm="1">
        <f t="array" ref="F225">INDEX(tbl_Ledger[Direction],ROWS($B$27:$B225))</f>
        <v>Outflow</v>
      </c>
      <c r="G225" s="159" cm="1">
        <f t="array" ref="G225">INDEX(tbl_Ledger[Tax Charged on Invoice],ROWS($B$27:$B225))</f>
        <v>0</v>
      </c>
      <c r="H225" s="159" cm="1">
        <f t="array" ref="H225">INDEX(tbl_Ledger[Expected Total Tax],ROWS($B$27:$B225))</f>
        <v>0</v>
      </c>
      <c r="I225" s="159" t="str" cm="1">
        <f t="array" ref="I225">INDEX(tbl_Ledger[Description],ROWS($B$27:$B225))</f>
        <v>Diesel (AGO) purchased for own fleet use, 13,891 litres</v>
      </c>
      <c r="J225" s="159" t="str" cm="1">
        <f t="array" ref="J225">INDEX(tbl_Ledger[Counterparty],ROWS($B$27:$B225))</f>
        <v>Zenith Fuel Depot Ltd</v>
      </c>
      <c r="K225" s="160" t="str">
        <f>IF(COUNTIF(Dup_Exclusions,$E225)&gt;0,"No","Yes")</f>
        <v>Yes</v>
      </c>
      <c r="L225" s="161" t="str">
        <f>IF(AND($D225="",COUNTIF(NoInv_Exempt,$E225)=0),"Yes","No")</f>
        <v>No</v>
      </c>
      <c r="M225" s="161" t="str" cm="1">
        <f t="array" ref="M225">IF(AND($D225&lt;&gt;"",$K225="Yes"),IF(SUMPRODUCT((tbl_Ledger[Invoice Number]=$D225)*(COUNTIF(Dup_Exclusions,tbl_Ledger[Tax Category])=0))&gt;1,"Yes","No"),"No")</f>
        <v>No</v>
      </c>
      <c r="N225" s="161" t="str">
        <f>IF(ABS($G225-$H225)&gt;Tax_Tolerance,"Yes","No")</f>
        <v>No</v>
      </c>
      <c r="O225" s="161" t="str">
        <f>IF(OR(AND($F225="Inflow",LEFT($E225,LEN(Prefix_Outflow))=Prefix_Outflow),AND($F225="Outflow",LEFT($E225,LEN(Prefix_Inflow))=Prefix_Inflow)),"Yes","No")</f>
        <v>No</v>
      </c>
      <c r="P225" s="161" t="str" cm="1">
        <f t="array" ref="P225">IF(AND(COUNTIF(Suspect_Categories,$E225)&gt;0,SUMPRODUCT(--ISNUMBER(SEARCH(Suspect_Keywords,$I225&amp;" "&amp;$J225)))&gt;0),"Yes","No")</f>
        <v>No</v>
      </c>
      <c r="Q225" s="161" t="str">
        <f t="shared" si="1"/>
        <v>No</v>
      </c>
    </row>
    <row r="226" spans="1:17" x14ac:dyDescent="0.3">
      <c r="A226" s="11"/>
      <c r="B226" s="157" cm="1">
        <f t="array" ref="B226">INDEX(tbl_Ledger[Row ID],ROWS($B$27:$B226))</f>
        <v>200</v>
      </c>
      <c r="C226" s="158" cm="1">
        <f t="array" ref="C226">INDEX(tbl_Ledger[Date],ROWS($B$27:$B226))</f>
        <v>46182</v>
      </c>
      <c r="D226" s="157" t="str" cm="1">
        <f t="array" ref="D226">IF(INDEX(tbl_Ledger[Invoice Number],ROWS($B$27:$B226))="","",INDEX(tbl_Ledger[Invoice Number],ROWS($B$27:$B226)))</f>
        <v>SIN-2026-0083</v>
      </c>
      <c r="E226" s="157" t="str" cm="1">
        <f t="array" ref="E226">INDEX(tbl_Ledger[Tax Category],ROWS($B$27:$B226))</f>
        <v>IN_STD</v>
      </c>
      <c r="F226" s="157" t="str" cm="1">
        <f t="array" ref="F226">INDEX(tbl_Ledger[Direction],ROWS($B$27:$B226))</f>
        <v>Outflow</v>
      </c>
      <c r="G226" s="159" cm="1">
        <f t="array" ref="G226">INDEX(tbl_Ledger[Tax Charged on Invoice],ROWS($B$27:$B226))</f>
        <v>1975.8</v>
      </c>
      <c r="H226" s="159" cm="1">
        <f t="array" ref="H226">INDEX(tbl_Ledger[Expected Total Tax],ROWS($B$27:$B226))</f>
        <v>1975.7999999999997</v>
      </c>
      <c r="I226" s="159" t="str" cm="1">
        <f t="array" ref="I226">INDEX(tbl_Ledger[Description],ROWS($B$27:$B226))</f>
        <v>Depot security services</v>
      </c>
      <c r="J226" s="159" t="str" cm="1">
        <f t="array" ref="J226">INDEX(tbl_Ledger[Counterparty],ROWS($B$27:$B226))</f>
        <v>Greenfield IT Solutions Ltd</v>
      </c>
      <c r="K226" s="160" t="str">
        <f>IF(COUNTIF(Dup_Exclusions,$E226)&gt;0,"No","Yes")</f>
        <v>Yes</v>
      </c>
      <c r="L226" s="161" t="str">
        <f>IF(AND($D226="",COUNTIF(NoInv_Exempt,$E226)=0),"Yes","No")</f>
        <v>No</v>
      </c>
      <c r="M226" s="161" t="str" cm="1">
        <f t="array" ref="M226">IF(AND($D226&lt;&gt;"",$K226="Yes"),IF(SUMPRODUCT((tbl_Ledger[Invoice Number]=$D226)*(COUNTIF(Dup_Exclusions,tbl_Ledger[Tax Category])=0))&gt;1,"Yes","No"),"No")</f>
        <v>No</v>
      </c>
      <c r="N226" s="161" t="str">
        <f>IF(ABS($G226-$H226)&gt;Tax_Tolerance,"Yes","No")</f>
        <v>No</v>
      </c>
      <c r="O226" s="161" t="str">
        <f>IF(OR(AND($F226="Inflow",LEFT($E226,LEN(Prefix_Outflow))=Prefix_Outflow),AND($F226="Outflow",LEFT($E226,LEN(Prefix_Inflow))=Prefix_Inflow)),"Yes","No")</f>
        <v>No</v>
      </c>
      <c r="P226" s="161" t="str" cm="1">
        <f t="array" ref="P226">IF(AND(COUNTIF(Suspect_Categories,$E226)&gt;0,SUMPRODUCT(--ISNUMBER(SEARCH(Suspect_Keywords,$I226&amp;" "&amp;$J226)))&gt;0),"Yes","No")</f>
        <v>No</v>
      </c>
      <c r="Q226" s="161" t="str">
        <f t="shared" si="1"/>
        <v>No</v>
      </c>
    </row>
    <row r="227" spans="1:17" x14ac:dyDescent="0.3">
      <c r="A227" s="11"/>
      <c r="B227" s="157" cm="1">
        <f t="array" ref="B227">INDEX(tbl_Ledger[Row ID],ROWS($B$27:$B227))</f>
        <v>201</v>
      </c>
      <c r="C227" s="158" cm="1">
        <f t="array" ref="C227">INDEX(tbl_Ledger[Date],ROWS($B$27:$B227))</f>
        <v>46182</v>
      </c>
      <c r="D227" s="157" t="str" cm="1">
        <f t="array" ref="D227">IF(INDEX(tbl_Ledger[Invoice Number],ROWS($B$27:$B227))="","",INDEX(tbl_Ledger[Invoice Number],ROWS($B$27:$B227)))</f>
        <v>JNL-2026-0007</v>
      </c>
      <c r="E227" s="157" t="str" cm="1">
        <f t="array" ref="E227">INDEX(tbl_Ledger[Tax Category],ROWS($B$27:$B227))</f>
        <v>NO_VAT</v>
      </c>
      <c r="F227" s="157" t="str" cm="1">
        <f t="array" ref="F227">INDEX(tbl_Ledger[Direction],ROWS($B$27:$B227))</f>
        <v>Outflow</v>
      </c>
      <c r="G227" s="159" cm="1">
        <f t="array" ref="G227">INDEX(tbl_Ledger[Tax Charged on Invoice],ROWS($B$27:$B227))</f>
        <v>0</v>
      </c>
      <c r="H227" s="159" cm="1">
        <f t="array" ref="H227">INDEX(tbl_Ledger[Expected Total Tax],ROWS($B$27:$B227))</f>
        <v>0</v>
      </c>
      <c r="I227" s="159" t="str" cm="1">
        <f t="array" ref="I227">INDEX(tbl_Ledger[Description],ROWS($B$27:$B227))</f>
        <v>Transfer to fleet replacement reserve</v>
      </c>
      <c r="J227" s="159" t="str" cm="1">
        <f t="array" ref="J227">INDEX(tbl_Ledger[Counterparty],ROWS($B$27:$B227))</f>
        <v>Ghana Revenue Authority</v>
      </c>
      <c r="K227" s="160" t="str">
        <f>IF(COUNTIF(Dup_Exclusions,$E227)&gt;0,"No","Yes")</f>
        <v>Yes</v>
      </c>
      <c r="L227" s="161" t="str">
        <f>IF(AND($D227="",COUNTIF(NoInv_Exempt,$E227)=0),"Yes","No")</f>
        <v>No</v>
      </c>
      <c r="M227" s="161" t="str" cm="1">
        <f t="array" ref="M227">IF(AND($D227&lt;&gt;"",$K227="Yes"),IF(SUMPRODUCT((tbl_Ledger[Invoice Number]=$D227)*(COUNTIF(Dup_Exclusions,tbl_Ledger[Tax Category])=0))&gt;1,"Yes","No"),"No")</f>
        <v>No</v>
      </c>
      <c r="N227" s="161" t="str">
        <f>IF(ABS($G227-$H227)&gt;Tax_Tolerance,"Yes","No")</f>
        <v>No</v>
      </c>
      <c r="O227" s="161" t="str">
        <f>IF(OR(AND($F227="Inflow",LEFT($E227,LEN(Prefix_Outflow))=Prefix_Outflow),AND($F227="Outflow",LEFT($E227,LEN(Prefix_Inflow))=Prefix_Inflow)),"Yes","No")</f>
        <v>No</v>
      </c>
      <c r="P227" s="161" t="str" cm="1">
        <f t="array" ref="P227">IF(AND(COUNTIF(Suspect_Categories,$E227)&gt;0,SUMPRODUCT(--ISNUMBER(SEARCH(Suspect_Keywords,$I227&amp;" "&amp;$J227)))&gt;0),"Yes","No")</f>
        <v>No</v>
      </c>
      <c r="Q227" s="161" t="str">
        <f t="shared" si="1"/>
        <v>No</v>
      </c>
    </row>
    <row r="228" spans="1:17" x14ac:dyDescent="0.3">
      <c r="A228" s="11"/>
      <c r="B228" s="157" cm="1">
        <f t="array" ref="B228">INDEX(tbl_Ledger[Row ID],ROWS($B$27:$B228))</f>
        <v>202</v>
      </c>
      <c r="C228" s="158" cm="1">
        <f t="array" ref="C228">INDEX(tbl_Ledger[Date],ROWS($B$27:$B228))</f>
        <v>46185</v>
      </c>
      <c r="D228" s="157" t="str" cm="1">
        <f t="array" ref="D228">IF(INDEX(tbl_Ledger[Invoice Number],ROWS($B$27:$B228))="","",INDEX(tbl_Ledger[Invoice Number],ROWS($B$27:$B228)))</f>
        <v>GRA-2026-0011</v>
      </c>
      <c r="E228" s="157" t="str" cm="1">
        <f t="array" ref="E228">INDEX(tbl_Ledger[Tax Category],ROWS($B$27:$B228))</f>
        <v>NO_VAT</v>
      </c>
      <c r="F228" s="157" t="str" cm="1">
        <f t="array" ref="F228">INDEX(tbl_Ledger[Direction],ROWS($B$27:$B228))</f>
        <v>Outflow</v>
      </c>
      <c r="G228" s="159" cm="1">
        <f t="array" ref="G228">INDEX(tbl_Ledger[Tax Charged on Invoice],ROWS($B$27:$B228))</f>
        <v>0</v>
      </c>
      <c r="H228" s="159" cm="1">
        <f t="array" ref="H228">INDEX(tbl_Ledger[Expected Total Tax],ROWS($B$27:$B228))</f>
        <v>0</v>
      </c>
      <c r="I228" s="159" t="str" cm="1">
        <f t="array" ref="I228">INDEX(tbl_Ledger[Description],ROWS($B$27:$B228))</f>
        <v>PAYE and SSNIT contributions - June</v>
      </c>
      <c r="J228" s="159" t="str" cm="1">
        <f t="array" ref="J228">INDEX(tbl_Ledger[Counterparty],ROWS($B$27:$B228))</f>
        <v>Ghana Revenue Authority</v>
      </c>
      <c r="K228" s="160" t="str">
        <f>IF(COUNTIF(Dup_Exclusions,$E228)&gt;0,"No","Yes")</f>
        <v>Yes</v>
      </c>
      <c r="L228" s="161" t="str">
        <f>IF(AND($D228="",COUNTIF(NoInv_Exempt,$E228)=0),"Yes","No")</f>
        <v>No</v>
      </c>
      <c r="M228" s="161" t="str" cm="1">
        <f t="array" ref="M228">IF(AND($D228&lt;&gt;"",$K228="Yes"),IF(SUMPRODUCT((tbl_Ledger[Invoice Number]=$D228)*(COUNTIF(Dup_Exclusions,tbl_Ledger[Tax Category])=0))&gt;1,"Yes","No"),"No")</f>
        <v>No</v>
      </c>
      <c r="N228" s="161" t="str">
        <f>IF(ABS($G228-$H228)&gt;Tax_Tolerance,"Yes","No")</f>
        <v>No</v>
      </c>
      <c r="O228" s="161" t="str">
        <f>IF(OR(AND($F228="Inflow",LEFT($E228,LEN(Prefix_Outflow))=Prefix_Outflow),AND($F228="Outflow",LEFT($E228,LEN(Prefix_Inflow))=Prefix_Inflow)),"Yes","No")</f>
        <v>No</v>
      </c>
      <c r="P228" s="161" t="str" cm="1">
        <f t="array" ref="P228">IF(AND(COUNTIF(Suspect_Categories,$E228)&gt;0,SUMPRODUCT(--ISNUMBER(SEARCH(Suspect_Keywords,$I228&amp;" "&amp;$J228)))&gt;0),"Yes","No")</f>
        <v>No</v>
      </c>
      <c r="Q228" s="161" t="str">
        <f t="shared" si="1"/>
        <v>No</v>
      </c>
    </row>
    <row r="229" spans="1:17" x14ac:dyDescent="0.3">
      <c r="A229" s="11"/>
      <c r="B229" s="157" cm="1">
        <f t="array" ref="B229">INDEX(tbl_Ledger[Row ID],ROWS($B$27:$B229))</f>
        <v>203</v>
      </c>
      <c r="C229" s="158" cm="1">
        <f t="array" ref="C229">INDEX(tbl_Ledger[Date],ROWS($B$27:$B229))</f>
        <v>46186</v>
      </c>
      <c r="D229" s="157" t="str" cm="1">
        <f t="array" ref="D229">IF(INDEX(tbl_Ledger[Invoice Number],ROWS($B$27:$B229))="","",INDEX(tbl_Ledger[Invoice Number],ROWS($B$27:$B229)))</f>
        <v>SIN-2026-0084</v>
      </c>
      <c r="E229" s="157" t="str" cm="1">
        <f t="array" ref="E229">INDEX(tbl_Ledger[Tax Category],ROWS($B$27:$B229))</f>
        <v>IN_EXEMPT</v>
      </c>
      <c r="F229" s="157" t="str" cm="1">
        <f t="array" ref="F229">INDEX(tbl_Ledger[Direction],ROWS($B$27:$B229))</f>
        <v>Outflow</v>
      </c>
      <c r="G229" s="159" cm="1">
        <f t="array" ref="G229">INDEX(tbl_Ledger[Tax Charged on Invoice],ROWS($B$27:$B229))</f>
        <v>0</v>
      </c>
      <c r="H229" s="159" cm="1">
        <f t="array" ref="H229">INDEX(tbl_Ledger[Expected Total Tax],ROWS($B$27:$B229))</f>
        <v>0</v>
      </c>
      <c r="I229" s="159" t="str" cm="1">
        <f t="array" ref="I229">INDEX(tbl_Ledger[Description],ROWS($B$27:$B229))</f>
        <v>Diesel (AGO) purchased for own fleet use, 14,322 litres</v>
      </c>
      <c r="J229" s="159" t="str" cm="1">
        <f t="array" ref="J229">INDEX(tbl_Ledger[Counterparty],ROWS($B$27:$B229))</f>
        <v>Zenith Fuel Depot Ltd</v>
      </c>
      <c r="K229" s="160" t="str">
        <f>IF(COUNTIF(Dup_Exclusions,$E229)&gt;0,"No","Yes")</f>
        <v>Yes</v>
      </c>
      <c r="L229" s="161" t="str">
        <f>IF(AND($D229="",COUNTIF(NoInv_Exempt,$E229)=0),"Yes","No")</f>
        <v>No</v>
      </c>
      <c r="M229" s="161" t="str" cm="1">
        <f t="array" ref="M229">IF(AND($D229&lt;&gt;"",$K229="Yes"),IF(SUMPRODUCT((tbl_Ledger[Invoice Number]=$D229)*(COUNTIF(Dup_Exclusions,tbl_Ledger[Tax Category])=0))&gt;1,"Yes","No"),"No")</f>
        <v>No</v>
      </c>
      <c r="N229" s="161" t="str">
        <f>IF(ABS($G229-$H229)&gt;Tax_Tolerance,"Yes","No")</f>
        <v>No</v>
      </c>
      <c r="O229" s="161" t="str">
        <f>IF(OR(AND($F229="Inflow",LEFT($E229,LEN(Prefix_Outflow))=Prefix_Outflow),AND($F229="Outflow",LEFT($E229,LEN(Prefix_Inflow))=Prefix_Inflow)),"Yes","No")</f>
        <v>No</v>
      </c>
      <c r="P229" s="161" t="str" cm="1">
        <f t="array" ref="P229">IF(AND(COUNTIF(Suspect_Categories,$E229)&gt;0,SUMPRODUCT(--ISNUMBER(SEARCH(Suspect_Keywords,$I229&amp;" "&amp;$J229)))&gt;0),"Yes","No")</f>
        <v>No</v>
      </c>
      <c r="Q229" s="161" t="str">
        <f t="shared" si="1"/>
        <v>No</v>
      </c>
    </row>
    <row r="230" spans="1:17" x14ac:dyDescent="0.3">
      <c r="A230" s="11"/>
      <c r="B230" s="157" cm="1">
        <f t="array" ref="B230">INDEX(tbl_Ledger[Row ID],ROWS($B$27:$B230))</f>
        <v>204</v>
      </c>
      <c r="C230" s="158" cm="1">
        <f t="array" ref="C230">INDEX(tbl_Ledger[Date],ROWS($B$27:$B230))</f>
        <v>46186</v>
      </c>
      <c r="D230" s="157" t="str" cm="1">
        <f t="array" ref="D230">IF(INDEX(tbl_Ledger[Invoice Number],ROWS($B$27:$B230))="","",INDEX(tbl_Ledger[Invoice Number],ROWS($B$27:$B230)))</f>
        <v>SIN-2026-0085</v>
      </c>
      <c r="E230" s="157" t="str" cm="1">
        <f t="array" ref="E230">INDEX(tbl_Ledger[Tax Category],ROWS($B$27:$B230))</f>
        <v>IN_STD</v>
      </c>
      <c r="F230" s="157" t="str" cm="1">
        <f t="array" ref="F230">INDEX(tbl_Ledger[Direction],ROWS($B$27:$B230))</f>
        <v>Outflow</v>
      </c>
      <c r="G230" s="159" cm="1">
        <f t="array" ref="G230">INDEX(tbl_Ledger[Tax Charged on Invoice],ROWS($B$27:$B230))</f>
        <v>1064.2</v>
      </c>
      <c r="H230" s="159" cm="1">
        <f t="array" ref="H230">INDEX(tbl_Ledger[Expected Total Tax],ROWS($B$27:$B230))</f>
        <v>1064.2</v>
      </c>
      <c r="I230" s="159" t="str" cm="1">
        <f t="array" ref="I230">INDEX(tbl_Ledger[Description],ROWS($B$27:$B230))</f>
        <v>Fleet servicing and workshop labour</v>
      </c>
      <c r="J230" s="159" t="str" cm="1">
        <f t="array" ref="J230">INDEX(tbl_Ledger[Counterparty],ROWS($B$27:$B230))</f>
        <v>Greenfield IT Solutions Ltd</v>
      </c>
      <c r="K230" s="160" t="str">
        <f>IF(COUNTIF(Dup_Exclusions,$E230)&gt;0,"No","Yes")</f>
        <v>Yes</v>
      </c>
      <c r="L230" s="161" t="str">
        <f>IF(AND($D230="",COUNTIF(NoInv_Exempt,$E230)=0),"Yes","No")</f>
        <v>No</v>
      </c>
      <c r="M230" s="161" t="str" cm="1">
        <f t="array" ref="M230">IF(AND($D230&lt;&gt;"",$K230="Yes"),IF(SUMPRODUCT((tbl_Ledger[Invoice Number]=$D230)*(COUNTIF(Dup_Exclusions,tbl_Ledger[Tax Category])=0))&gt;1,"Yes","No"),"No")</f>
        <v>No</v>
      </c>
      <c r="N230" s="161" t="str">
        <f>IF(ABS($G230-$H230)&gt;Tax_Tolerance,"Yes","No")</f>
        <v>No</v>
      </c>
      <c r="O230" s="161" t="str">
        <f>IF(OR(AND($F230="Inflow",LEFT($E230,LEN(Prefix_Outflow))=Prefix_Outflow),AND($F230="Outflow",LEFT($E230,LEN(Prefix_Inflow))=Prefix_Inflow)),"Yes","No")</f>
        <v>No</v>
      </c>
      <c r="P230" s="161" t="str" cm="1">
        <f t="array" ref="P230">IF(AND(COUNTIF(Suspect_Categories,$E230)&gt;0,SUMPRODUCT(--ISNUMBER(SEARCH(Suspect_Keywords,$I230&amp;" "&amp;$J230)))&gt;0),"Yes","No")</f>
        <v>No</v>
      </c>
      <c r="Q230" s="161" t="str">
        <f t="shared" si="1"/>
        <v>No</v>
      </c>
    </row>
    <row r="231" spans="1:17" x14ac:dyDescent="0.3">
      <c r="A231" s="11"/>
      <c r="B231" s="157" cm="1">
        <f t="array" ref="B231">INDEX(tbl_Ledger[Row ID],ROWS($B$27:$B231))</f>
        <v>205</v>
      </c>
      <c r="C231" s="158" cm="1">
        <f t="array" ref="C231">INDEX(tbl_Ledger[Date],ROWS($B$27:$B231))</f>
        <v>46186</v>
      </c>
      <c r="D231" s="157" t="str" cm="1">
        <f t="array" ref="D231">IF(INDEX(tbl_Ledger[Invoice Number],ROWS($B$27:$B231))="","",INDEX(tbl_Ledger[Invoice Number],ROWS($B$27:$B231)))</f>
        <v>NHL-2026-0076</v>
      </c>
      <c r="E231" s="157" t="str" cm="1">
        <f t="array" ref="E231">INDEX(tbl_Ledger[Tax Category],ROWS($B$27:$B231))</f>
        <v>OUT_STD</v>
      </c>
      <c r="F231" s="157" t="str" cm="1">
        <f t="array" ref="F231">INDEX(tbl_Ledger[Direction],ROWS($B$27:$B231))</f>
        <v>Inflow</v>
      </c>
      <c r="G231" s="159" cm="1">
        <f t="array" ref="G231">INDEX(tbl_Ledger[Tax Charged on Invoice],ROWS($B$27:$B231))</f>
        <v>12985</v>
      </c>
      <c r="H231" s="159" cm="1">
        <f t="array" ref="H231">INDEX(tbl_Ledger[Expected Total Tax],ROWS($B$27:$B231))</f>
        <v>12985</v>
      </c>
      <c r="I231" s="159" t="str" cm="1">
        <f t="array" ref="I231">INDEX(tbl_Ledger[Description],ROWS($B$27:$B231))</f>
        <v>Bulk haulage of PMS, Tema-Kumasi, 6 trips</v>
      </c>
      <c r="J231" s="159" t="str" cm="1">
        <f t="array" ref="J231">INDEX(tbl_Ledger[Counterparty],ROWS($B$27:$B231))</f>
        <v>Akwaaba Petroleum Ltd</v>
      </c>
      <c r="K231" s="160" t="str">
        <f>IF(COUNTIF(Dup_Exclusions,$E231)&gt;0,"No","Yes")</f>
        <v>Yes</v>
      </c>
      <c r="L231" s="161" t="str">
        <f>IF(AND($D231="",COUNTIF(NoInv_Exempt,$E231)=0),"Yes","No")</f>
        <v>No</v>
      </c>
      <c r="M231" s="161" t="str" cm="1">
        <f t="array" ref="M231">IF(AND($D231&lt;&gt;"",$K231="Yes"),IF(SUMPRODUCT((tbl_Ledger[Invoice Number]=$D231)*(COUNTIF(Dup_Exclusions,tbl_Ledger[Tax Category])=0))&gt;1,"Yes","No"),"No")</f>
        <v>No</v>
      </c>
      <c r="N231" s="161" t="str">
        <f>IF(ABS($G231-$H231)&gt;Tax_Tolerance,"Yes","No")</f>
        <v>No</v>
      </c>
      <c r="O231" s="161" t="str">
        <f>IF(OR(AND($F231="Inflow",LEFT($E231,LEN(Prefix_Outflow))=Prefix_Outflow),AND($F231="Outflow",LEFT($E231,LEN(Prefix_Inflow))=Prefix_Inflow)),"Yes","No")</f>
        <v>No</v>
      </c>
      <c r="P231" s="161" t="str" cm="1">
        <f t="array" ref="P231">IF(AND(COUNTIF(Suspect_Categories,$E231)&gt;0,SUMPRODUCT(--ISNUMBER(SEARCH(Suspect_Keywords,$I231&amp;" "&amp;$J231)))&gt;0),"Yes","No")</f>
        <v>No</v>
      </c>
      <c r="Q231" s="161" t="str">
        <f t="shared" si="1"/>
        <v>No</v>
      </c>
    </row>
    <row r="232" spans="1:17" x14ac:dyDescent="0.3">
      <c r="A232" s="11"/>
      <c r="B232" s="157" cm="1">
        <f t="array" ref="B232">INDEX(tbl_Ledger[Row ID],ROWS($B$27:$B232))</f>
        <v>206</v>
      </c>
      <c r="C232" s="158" cm="1">
        <f t="array" ref="C232">INDEX(tbl_Ledger[Date],ROWS($B$27:$B232))</f>
        <v>46187</v>
      </c>
      <c r="D232" s="157" t="str" cm="1">
        <f t="array" ref="D232">IF(INDEX(tbl_Ledger[Invoice Number],ROWS($B$27:$B232))="","",INDEX(tbl_Ledger[Invoice Number],ROWS($B$27:$B232)))</f>
        <v>JNL-2026-0008</v>
      </c>
      <c r="E232" s="157" t="str" cm="1">
        <f t="array" ref="E232">INDEX(tbl_Ledger[Tax Category],ROWS($B$27:$B232))</f>
        <v>NO_VAT</v>
      </c>
      <c r="F232" s="157" t="str" cm="1">
        <f t="array" ref="F232">INDEX(tbl_Ledger[Direction],ROWS($B$27:$B232))</f>
        <v>Outflow</v>
      </c>
      <c r="G232" s="159" cm="1">
        <f t="array" ref="G232">INDEX(tbl_Ledger[Tax Charged on Invoice],ROWS($B$27:$B232))</f>
        <v>0</v>
      </c>
      <c r="H232" s="159" cm="1">
        <f t="array" ref="H232">INDEX(tbl_Ledger[Expected Total Tax],ROWS($B$27:$B232))</f>
        <v>0</v>
      </c>
      <c r="I232" s="159" t="str" cm="1">
        <f t="array" ref="I232">INDEX(tbl_Ledger[Description],ROWS($B$27:$B232))</f>
        <v>Dividend paid to shareholders</v>
      </c>
      <c r="J232" s="159" t="str" cm="1">
        <f t="array" ref="J232">INDEX(tbl_Ledger[Counterparty],ROWS($B$27:$B232))</f>
        <v>Nkabom Haulage Ltd - Reserve Account</v>
      </c>
      <c r="K232" s="160" t="str">
        <f>IF(COUNTIF(Dup_Exclusions,$E232)&gt;0,"No","Yes")</f>
        <v>Yes</v>
      </c>
      <c r="L232" s="161" t="str">
        <f>IF(AND($D232="",COUNTIF(NoInv_Exempt,$E232)=0),"Yes","No")</f>
        <v>No</v>
      </c>
      <c r="M232" s="161" t="str" cm="1">
        <f t="array" ref="M232">IF(AND($D232&lt;&gt;"",$K232="Yes"),IF(SUMPRODUCT((tbl_Ledger[Invoice Number]=$D232)*(COUNTIF(Dup_Exclusions,tbl_Ledger[Tax Category])=0))&gt;1,"Yes","No"),"No")</f>
        <v>No</v>
      </c>
      <c r="N232" s="161" t="str">
        <f>IF(ABS($G232-$H232)&gt;Tax_Tolerance,"Yes","No")</f>
        <v>No</v>
      </c>
      <c r="O232" s="161" t="str">
        <f>IF(OR(AND($F232="Inflow",LEFT($E232,LEN(Prefix_Outflow))=Prefix_Outflow),AND($F232="Outflow",LEFT($E232,LEN(Prefix_Inflow))=Prefix_Inflow)),"Yes","No")</f>
        <v>No</v>
      </c>
      <c r="P232" s="161" t="str" cm="1">
        <f t="array" ref="P232">IF(AND(COUNTIF(Suspect_Categories,$E232)&gt;0,SUMPRODUCT(--ISNUMBER(SEARCH(Suspect_Keywords,$I232&amp;" "&amp;$J232)))&gt;0),"Yes","No")</f>
        <v>No</v>
      </c>
      <c r="Q232" s="161" t="str">
        <f t="shared" si="1"/>
        <v>No</v>
      </c>
    </row>
    <row r="233" spans="1:17" x14ac:dyDescent="0.3">
      <c r="A233" s="11"/>
      <c r="B233" s="157" cm="1">
        <f t="array" ref="B233">INDEX(tbl_Ledger[Row ID],ROWS($B$27:$B233))</f>
        <v>207</v>
      </c>
      <c r="C233" s="158" cm="1">
        <f t="array" ref="C233">INDEX(tbl_Ledger[Date],ROWS($B$27:$B233))</f>
        <v>46188</v>
      </c>
      <c r="D233" s="157" t="str" cm="1">
        <f t="array" ref="D233">IF(INDEX(tbl_Ledger[Invoice Number],ROWS($B$27:$B233))="","",INDEX(tbl_Ledger[Invoice Number],ROWS($B$27:$B233)))</f>
        <v>LN-2026-0006</v>
      </c>
      <c r="E233" s="157" t="str" cm="1">
        <f t="array" ref="E233">INDEX(tbl_Ledger[Tax Category],ROWS($B$27:$B233))</f>
        <v>NO_VAT</v>
      </c>
      <c r="F233" s="157" t="str" cm="1">
        <f t="array" ref="F233">INDEX(tbl_Ledger[Direction],ROWS($B$27:$B233))</f>
        <v>Outflow</v>
      </c>
      <c r="G233" s="159" cm="1">
        <f t="array" ref="G233">INDEX(tbl_Ledger[Tax Charged on Invoice],ROWS($B$27:$B233))</f>
        <v>0</v>
      </c>
      <c r="H233" s="159" cm="1">
        <f t="array" ref="H233">INDEX(tbl_Ledger[Expected Total Tax],ROWS($B$27:$B233))</f>
        <v>0</v>
      </c>
      <c r="I233" s="159" t="str" cm="1">
        <f t="array" ref="I233">INDEX(tbl_Ledger[Description],ROWS($B$27:$B233))</f>
        <v>Term loan repayment - principal and interest, instalment 6</v>
      </c>
      <c r="J233" s="159" t="str" cm="1">
        <f t="array" ref="J233">INDEX(tbl_Ledger[Counterparty],ROWS($B$27:$B233))</f>
        <v>Meridian Bank Ghana Ltd</v>
      </c>
      <c r="K233" s="160" t="str">
        <f>IF(COUNTIF(Dup_Exclusions,$E233)&gt;0,"No","Yes")</f>
        <v>Yes</v>
      </c>
      <c r="L233" s="161" t="str">
        <f>IF(AND($D233="",COUNTIF(NoInv_Exempt,$E233)=0),"Yes","No")</f>
        <v>No</v>
      </c>
      <c r="M233" s="161" t="str" cm="1">
        <f t="array" ref="M233">IF(AND($D233&lt;&gt;"",$K233="Yes"),IF(SUMPRODUCT((tbl_Ledger[Invoice Number]=$D233)*(COUNTIF(Dup_Exclusions,tbl_Ledger[Tax Category])=0))&gt;1,"Yes","No"),"No")</f>
        <v>No</v>
      </c>
      <c r="N233" s="161" t="str">
        <f>IF(ABS($G233-$H233)&gt;Tax_Tolerance,"Yes","No")</f>
        <v>No</v>
      </c>
      <c r="O233" s="161" t="str">
        <f>IF(OR(AND($F233="Inflow",LEFT($E233,LEN(Prefix_Outflow))=Prefix_Outflow),AND($F233="Outflow",LEFT($E233,LEN(Prefix_Inflow))=Prefix_Inflow)),"Yes","No")</f>
        <v>No</v>
      </c>
      <c r="P233" s="161" t="str" cm="1">
        <f t="array" ref="P233">IF(AND(COUNTIF(Suspect_Categories,$E233)&gt;0,SUMPRODUCT(--ISNUMBER(SEARCH(Suspect_Keywords,$I233&amp;" "&amp;$J233)))&gt;0),"Yes","No")</f>
        <v>No</v>
      </c>
      <c r="Q233" s="161" t="str">
        <f t="shared" si="1"/>
        <v>No</v>
      </c>
    </row>
    <row r="234" spans="1:17" x14ac:dyDescent="0.3">
      <c r="A234" s="11"/>
      <c r="B234" s="157" cm="1">
        <f t="array" ref="B234">INDEX(tbl_Ledger[Row ID],ROWS($B$27:$B234))</f>
        <v>208</v>
      </c>
      <c r="C234" s="158" cm="1">
        <f t="array" ref="C234">INDEX(tbl_Ledger[Date],ROWS($B$27:$B234))</f>
        <v>46189</v>
      </c>
      <c r="D234" s="157" t="str" cm="1">
        <f t="array" ref="D234">IF(INDEX(tbl_Ledger[Invoice Number],ROWS($B$27:$B234))="","",INDEX(tbl_Ledger[Invoice Number],ROWS($B$27:$B234)))</f>
        <v>NHL-2026-0077</v>
      </c>
      <c r="E234" s="157" t="str" cm="1">
        <f t="array" ref="E234">INDEX(tbl_Ledger[Tax Category],ROWS($B$27:$B234))</f>
        <v>WHT_SVC</v>
      </c>
      <c r="F234" s="157" t="str" cm="1">
        <f t="array" ref="F234">INDEX(tbl_Ledger[Direction],ROWS($B$27:$B234))</f>
        <v>Inflow</v>
      </c>
      <c r="G234" s="159" cm="1">
        <f t="array" ref="G234">INDEX(tbl_Ledger[Tax Charged on Invoice],ROWS($B$27:$B234))</f>
        <v>14427.8</v>
      </c>
      <c r="H234" s="159" cm="1">
        <f t="array" ref="H234">INDEX(tbl_Ledger[Expected Total Tax],ROWS($B$27:$B234))</f>
        <v>14427.800000000001</v>
      </c>
      <c r="I234" s="159" t="str" cm="1">
        <f t="array" ref="I234">INDEX(tbl_Ledger[Description],ROWS($B$27:$B234))</f>
        <v>Contract haulage of PMS, Tema-Kumasi; customer withheld income tax at 7.5% on the service fee</v>
      </c>
      <c r="J234" s="159" t="str" cm="1">
        <f t="array" ref="J234">INDEX(tbl_Ledger[Counterparty],ROWS($B$27:$B234))</f>
        <v>Volta Star Fuels Ltd</v>
      </c>
      <c r="K234" s="160" t="str">
        <f>IF(COUNTIF(Dup_Exclusions,$E234)&gt;0,"No","Yes")</f>
        <v>Yes</v>
      </c>
      <c r="L234" s="161" t="str">
        <f>IF(AND($D234="",COUNTIF(NoInv_Exempt,$E234)=0),"Yes","No")</f>
        <v>No</v>
      </c>
      <c r="M234" s="161" t="str" cm="1">
        <f t="array" ref="M234">IF(AND($D234&lt;&gt;"",$K234="Yes"),IF(SUMPRODUCT((tbl_Ledger[Invoice Number]=$D234)*(COUNTIF(Dup_Exclusions,tbl_Ledger[Tax Category])=0))&gt;1,"Yes","No"),"No")</f>
        <v>No</v>
      </c>
      <c r="N234" s="161" t="str">
        <f>IF(ABS($G234-$H234)&gt;Tax_Tolerance,"Yes","No")</f>
        <v>No</v>
      </c>
      <c r="O234" s="161" t="str">
        <f>IF(OR(AND($F234="Inflow",LEFT($E234,LEN(Prefix_Outflow))=Prefix_Outflow),AND($F234="Outflow",LEFT($E234,LEN(Prefix_Inflow))=Prefix_Inflow)),"Yes","No")</f>
        <v>No</v>
      </c>
      <c r="P234" s="161" t="str" cm="1">
        <f t="array" ref="P234">IF(AND(COUNTIF(Suspect_Categories,$E234)&gt;0,SUMPRODUCT(--ISNUMBER(SEARCH(Suspect_Keywords,$I234&amp;" "&amp;$J234)))&gt;0),"Yes","No")</f>
        <v>No</v>
      </c>
      <c r="Q234" s="161" t="str">
        <f t="shared" si="1"/>
        <v>No</v>
      </c>
    </row>
    <row r="235" spans="1:17" x14ac:dyDescent="0.3">
      <c r="A235" s="11"/>
      <c r="B235" s="157" cm="1">
        <f t="array" ref="B235">INDEX(tbl_Ledger[Row ID],ROWS($B$27:$B235))</f>
        <v>209</v>
      </c>
      <c r="C235" s="158" cm="1">
        <f t="array" ref="C235">INDEX(tbl_Ledger[Date],ROWS($B$27:$B235))</f>
        <v>46190</v>
      </c>
      <c r="D235" s="157" t="str" cm="1">
        <f t="array" ref="D235">IF(INDEX(tbl_Ledger[Invoice Number],ROWS($B$27:$B235))="","",INDEX(tbl_Ledger[Invoice Number],ROWS($B$27:$B235)))</f>
        <v>JNL-2026-0009</v>
      </c>
      <c r="E235" s="157" t="str" cm="1">
        <f t="array" ref="E235">INDEX(tbl_Ledger[Tax Category],ROWS($B$27:$B235))</f>
        <v>NO_VAT</v>
      </c>
      <c r="F235" s="157" t="str" cm="1">
        <f t="array" ref="F235">INDEX(tbl_Ledger[Direction],ROWS($B$27:$B235))</f>
        <v>Outflow</v>
      </c>
      <c r="G235" s="159" cm="1">
        <f t="array" ref="G235">INDEX(tbl_Ledger[Tax Charged on Invoice],ROWS($B$27:$B235))</f>
        <v>0</v>
      </c>
      <c r="H235" s="159" cm="1">
        <f t="array" ref="H235">INDEX(tbl_Ledger[Expected Total Tax],ROWS($B$27:$B235))</f>
        <v>0</v>
      </c>
      <c r="I235" s="159" t="str" cm="1">
        <f t="array" ref="I235">INDEX(tbl_Ledger[Description],ROWS($B$27:$B235))</f>
        <v>Director current account repayment</v>
      </c>
      <c r="J235" s="159" t="str" cm="1">
        <f t="array" ref="J235">INDEX(tbl_Ledger[Counterparty],ROWS($B$27:$B235))</f>
        <v>Ghana Revenue Authority</v>
      </c>
      <c r="K235" s="160" t="str">
        <f>IF(COUNTIF(Dup_Exclusions,$E235)&gt;0,"No","Yes")</f>
        <v>Yes</v>
      </c>
      <c r="L235" s="161" t="str">
        <f>IF(AND($D235="",COUNTIF(NoInv_Exempt,$E235)=0),"Yes","No")</f>
        <v>No</v>
      </c>
      <c r="M235" s="161" t="str" cm="1">
        <f t="array" ref="M235">IF(AND($D235&lt;&gt;"",$K235="Yes"),IF(SUMPRODUCT((tbl_Ledger[Invoice Number]=$D235)*(COUNTIF(Dup_Exclusions,tbl_Ledger[Tax Category])=0))&gt;1,"Yes","No"),"No")</f>
        <v>No</v>
      </c>
      <c r="N235" s="161" t="str">
        <f>IF(ABS($G235-$H235)&gt;Tax_Tolerance,"Yes","No")</f>
        <v>No</v>
      </c>
      <c r="O235" s="161" t="str">
        <f>IF(OR(AND($F235="Inflow",LEFT($E235,LEN(Prefix_Outflow))=Prefix_Outflow),AND($F235="Outflow",LEFT($E235,LEN(Prefix_Inflow))=Prefix_Inflow)),"Yes","No")</f>
        <v>No</v>
      </c>
      <c r="P235" s="161" t="str" cm="1">
        <f t="array" ref="P235">IF(AND(COUNTIF(Suspect_Categories,$E235)&gt;0,SUMPRODUCT(--ISNUMBER(SEARCH(Suspect_Keywords,$I235&amp;" "&amp;$J235)))&gt;0),"Yes","No")</f>
        <v>No</v>
      </c>
      <c r="Q235" s="161" t="str">
        <f t="shared" si="1"/>
        <v>No</v>
      </c>
    </row>
    <row r="236" spans="1:17" x14ac:dyDescent="0.3">
      <c r="A236" s="11"/>
      <c r="B236" s="157" cm="1">
        <f t="array" ref="B236">INDEX(tbl_Ledger[Row ID],ROWS($B$27:$B236))</f>
        <v>210</v>
      </c>
      <c r="C236" s="158" cm="1">
        <f t="array" ref="C236">INDEX(tbl_Ledger[Date],ROWS($B$27:$B236))</f>
        <v>46192</v>
      </c>
      <c r="D236" s="157" t="str" cm="1">
        <f t="array" ref="D236">IF(INDEX(tbl_Ledger[Invoice Number],ROWS($B$27:$B236))="","",INDEX(tbl_Ledger[Invoice Number],ROWS($B$27:$B236)))</f>
        <v>SIN-2026-0086</v>
      </c>
      <c r="E236" s="157" t="str" cm="1">
        <f t="array" ref="E236">INDEX(tbl_Ledger[Tax Category],ROWS($B$27:$B236))</f>
        <v>IN_EXEMPT</v>
      </c>
      <c r="F236" s="157" t="str" cm="1">
        <f t="array" ref="F236">INDEX(tbl_Ledger[Direction],ROWS($B$27:$B236))</f>
        <v>Outflow</v>
      </c>
      <c r="G236" s="159" cm="1">
        <f t="array" ref="G236">INDEX(tbl_Ledger[Tax Charged on Invoice],ROWS($B$27:$B236))</f>
        <v>0</v>
      </c>
      <c r="H236" s="159" cm="1">
        <f t="array" ref="H236">INDEX(tbl_Ledger[Expected Total Tax],ROWS($B$27:$B236))</f>
        <v>0</v>
      </c>
      <c r="I236" s="159" t="str" cm="1">
        <f t="array" ref="I236">INDEX(tbl_Ledger[Description],ROWS($B$27:$B236))</f>
        <v>Diesel (AGO) purchased for own fleet use, 10,984 litres</v>
      </c>
      <c r="J236" s="159" t="str" cm="1">
        <f t="array" ref="J236">INDEX(tbl_Ledger[Counterparty],ROWS($B$27:$B236))</f>
        <v>Zenith Fuel Depot Ltd</v>
      </c>
      <c r="K236" s="160" t="str">
        <f>IF(COUNTIF(Dup_Exclusions,$E236)&gt;0,"No","Yes")</f>
        <v>Yes</v>
      </c>
      <c r="L236" s="161" t="str">
        <f>IF(AND($D236="",COUNTIF(NoInv_Exempt,$E236)=0),"Yes","No")</f>
        <v>No</v>
      </c>
      <c r="M236" s="161" t="str" cm="1">
        <f t="array" ref="M236">IF(AND($D236&lt;&gt;"",$K236="Yes"),IF(SUMPRODUCT((tbl_Ledger[Invoice Number]=$D236)*(COUNTIF(Dup_Exclusions,tbl_Ledger[Tax Category])=0))&gt;1,"Yes","No"),"No")</f>
        <v>No</v>
      </c>
      <c r="N236" s="161" t="str">
        <f>IF(ABS($G236-$H236)&gt;Tax_Tolerance,"Yes","No")</f>
        <v>No</v>
      </c>
      <c r="O236" s="161" t="str">
        <f>IF(OR(AND($F236="Inflow",LEFT($E236,LEN(Prefix_Outflow))=Prefix_Outflow),AND($F236="Outflow",LEFT($E236,LEN(Prefix_Inflow))=Prefix_Inflow)),"Yes","No")</f>
        <v>No</v>
      </c>
      <c r="P236" s="161" t="str" cm="1">
        <f t="array" ref="P236">IF(AND(COUNTIF(Suspect_Categories,$E236)&gt;0,SUMPRODUCT(--ISNUMBER(SEARCH(Suspect_Keywords,$I236&amp;" "&amp;$J236)))&gt;0),"Yes","No")</f>
        <v>No</v>
      </c>
      <c r="Q236" s="161" t="str">
        <f t="shared" si="1"/>
        <v>No</v>
      </c>
    </row>
    <row r="237" spans="1:17" x14ac:dyDescent="0.3">
      <c r="A237" s="11"/>
      <c r="B237" s="157" cm="1">
        <f t="array" ref="B237">INDEX(tbl_Ledger[Row ID],ROWS($B$27:$B237))</f>
        <v>211</v>
      </c>
      <c r="C237" s="158" cm="1">
        <f t="array" ref="C237">INDEX(tbl_Ledger[Date],ROWS($B$27:$B237))</f>
        <v>46192</v>
      </c>
      <c r="D237" s="157" t="str" cm="1">
        <f t="array" ref="D237">IF(INDEX(tbl_Ledger[Invoice Number],ROWS($B$27:$B237))="","",INDEX(tbl_Ledger[Invoice Number],ROWS($B$27:$B237)))</f>
        <v>SIN-2026-0087</v>
      </c>
      <c r="E237" s="157" t="str" cm="1">
        <f t="array" ref="E237">INDEX(tbl_Ledger[Tax Category],ROWS($B$27:$B237))</f>
        <v>IN_STD</v>
      </c>
      <c r="F237" s="157" t="str" cm="1">
        <f t="array" ref="F237">INDEX(tbl_Ledger[Direction],ROWS($B$27:$B237))</f>
        <v>Outflow</v>
      </c>
      <c r="G237" s="159" cm="1">
        <f t="array" ref="G237">INDEX(tbl_Ledger[Tax Charged on Invoice],ROWS($B$27:$B237))</f>
        <v>242.6</v>
      </c>
      <c r="H237" s="159" cm="1">
        <f t="array" ref="H237">INDEX(tbl_Ledger[Expected Total Tax],ROWS($B$27:$B237))</f>
        <v>242.59999999999997</v>
      </c>
      <c r="I237" s="159" t="str" cm="1">
        <f t="array" ref="I237">INDEX(tbl_Ledger[Description],ROWS($B$27:$B237))</f>
        <v>Mobile and data services</v>
      </c>
      <c r="J237" s="159" t="str" cm="1">
        <f t="array" ref="J237">INDEX(tbl_Ledger[Counterparty],ROWS($B$27:$B237))</f>
        <v>Kumasi Tyre Centre Ltd</v>
      </c>
      <c r="K237" s="160" t="str">
        <f>IF(COUNTIF(Dup_Exclusions,$E237)&gt;0,"No","Yes")</f>
        <v>Yes</v>
      </c>
      <c r="L237" s="161" t="str">
        <f>IF(AND($D237="",COUNTIF(NoInv_Exempt,$E237)=0),"Yes","No")</f>
        <v>No</v>
      </c>
      <c r="M237" s="161" t="str" cm="1">
        <f t="array" ref="M237">IF(AND($D237&lt;&gt;"",$K237="Yes"),IF(SUMPRODUCT((tbl_Ledger[Invoice Number]=$D237)*(COUNTIF(Dup_Exclusions,tbl_Ledger[Tax Category])=0))&gt;1,"Yes","No"),"No")</f>
        <v>No</v>
      </c>
      <c r="N237" s="161" t="str">
        <f>IF(ABS($G237-$H237)&gt;Tax_Tolerance,"Yes","No")</f>
        <v>No</v>
      </c>
      <c r="O237" s="161" t="str">
        <f>IF(OR(AND($F237="Inflow",LEFT($E237,LEN(Prefix_Outflow))=Prefix_Outflow),AND($F237="Outflow",LEFT($E237,LEN(Prefix_Inflow))=Prefix_Inflow)),"Yes","No")</f>
        <v>No</v>
      </c>
      <c r="P237" s="161" t="str" cm="1">
        <f t="array" ref="P237">IF(AND(COUNTIF(Suspect_Categories,$E237)&gt;0,SUMPRODUCT(--ISNUMBER(SEARCH(Suspect_Keywords,$I237&amp;" "&amp;$J237)))&gt;0),"Yes","No")</f>
        <v>No</v>
      </c>
      <c r="Q237" s="161" t="str">
        <f t="shared" si="1"/>
        <v>No</v>
      </c>
    </row>
    <row r="238" spans="1:17" x14ac:dyDescent="0.3">
      <c r="A238" s="11"/>
      <c r="B238" s="157" cm="1">
        <f t="array" ref="B238">INDEX(tbl_Ledger[Row ID],ROWS($B$27:$B238))</f>
        <v>212</v>
      </c>
      <c r="C238" s="158" cm="1">
        <f t="array" ref="C238">INDEX(tbl_Ledger[Date],ROWS($B$27:$B238))</f>
        <v>46192</v>
      </c>
      <c r="D238" s="157" t="str" cm="1">
        <f t="array" ref="D238">IF(INDEX(tbl_Ledger[Invoice Number],ROWS($B$27:$B238))="","",INDEX(tbl_Ledger[Invoice Number],ROWS($B$27:$B238)))</f>
        <v>NHL-2026-0078</v>
      </c>
      <c r="E238" s="157" t="str" cm="1">
        <f t="array" ref="E238">INDEX(tbl_Ledger[Tax Category],ROWS($B$27:$B238))</f>
        <v>OUT_STD</v>
      </c>
      <c r="F238" s="157" t="str" cm="1">
        <f t="array" ref="F238">INDEX(tbl_Ledger[Direction],ROWS($B$27:$B238))</f>
        <v>Inflow</v>
      </c>
      <c r="G238" s="159" cm="1">
        <f t="array" ref="G238">INDEX(tbl_Ledger[Tax Charged on Invoice],ROWS($B$27:$B238))</f>
        <v>9528</v>
      </c>
      <c r="H238" s="159" cm="1">
        <f t="array" ref="H238">INDEX(tbl_Ledger[Expected Total Tax],ROWS($B$27:$B238))</f>
        <v>9528</v>
      </c>
      <c r="I238" s="159" t="str" cm="1">
        <f t="array" ref="I238">INDEX(tbl_Ledger[Description],ROWS($B$27:$B238))</f>
        <v>Bulk haulage of LPG, Tema-Takoradi, 5 trips</v>
      </c>
      <c r="J238" s="159" t="str" cm="1">
        <f t="array" ref="J238">INDEX(tbl_Ledger[Counterparty],ROWS($B$27:$B238))</f>
        <v>Golden Harmattan Energy Ltd</v>
      </c>
      <c r="K238" s="160" t="str">
        <f>IF(COUNTIF(Dup_Exclusions,$E238)&gt;0,"No","Yes")</f>
        <v>Yes</v>
      </c>
      <c r="L238" s="161" t="str">
        <f>IF(AND($D238="",COUNTIF(NoInv_Exempt,$E238)=0),"Yes","No")</f>
        <v>No</v>
      </c>
      <c r="M238" s="161" t="str" cm="1">
        <f t="array" ref="M238">IF(AND($D238&lt;&gt;"",$K238="Yes"),IF(SUMPRODUCT((tbl_Ledger[Invoice Number]=$D238)*(COUNTIF(Dup_Exclusions,tbl_Ledger[Tax Category])=0))&gt;1,"Yes","No"),"No")</f>
        <v>No</v>
      </c>
      <c r="N238" s="161" t="str">
        <f>IF(ABS($G238-$H238)&gt;Tax_Tolerance,"Yes","No")</f>
        <v>No</v>
      </c>
      <c r="O238" s="161" t="str">
        <f>IF(OR(AND($F238="Inflow",LEFT($E238,LEN(Prefix_Outflow))=Prefix_Outflow),AND($F238="Outflow",LEFT($E238,LEN(Prefix_Inflow))=Prefix_Inflow)),"Yes","No")</f>
        <v>No</v>
      </c>
      <c r="P238" s="161" t="str" cm="1">
        <f t="array" ref="P238">IF(AND(COUNTIF(Suspect_Categories,$E238)&gt;0,SUMPRODUCT(--ISNUMBER(SEARCH(Suspect_Keywords,$I238&amp;" "&amp;$J238)))&gt;0),"Yes","No")</f>
        <v>No</v>
      </c>
      <c r="Q238" s="161" t="str">
        <f t="shared" si="1"/>
        <v>No</v>
      </c>
    </row>
    <row r="239" spans="1:17" x14ac:dyDescent="0.3">
      <c r="A239" s="11"/>
      <c r="B239" s="157" cm="1">
        <f t="array" ref="B239">INDEX(tbl_Ledger[Row ID],ROWS($B$27:$B239))</f>
        <v>213</v>
      </c>
      <c r="C239" s="158" cm="1">
        <f t="array" ref="C239">INDEX(tbl_Ledger[Date],ROWS($B$27:$B239))</f>
        <v>46193</v>
      </c>
      <c r="D239" s="157" t="str" cm="1">
        <f t="array" ref="D239">IF(INDEX(tbl_Ledger[Invoice Number],ROWS($B$27:$B239))="","",INDEX(tbl_Ledger[Invoice Number],ROWS($B$27:$B239)))</f>
        <v>SIN-2026-0088</v>
      </c>
      <c r="E239" s="157" t="str" cm="1">
        <f t="array" ref="E239">INDEX(tbl_Ledger[Tax Category],ROWS($B$27:$B239))</f>
        <v>IN_EXEMPT</v>
      </c>
      <c r="F239" s="157" t="str" cm="1">
        <f t="array" ref="F239">INDEX(tbl_Ledger[Direction],ROWS($B$27:$B239))</f>
        <v>Outflow</v>
      </c>
      <c r="G239" s="159" cm="1">
        <f t="array" ref="G239">INDEX(tbl_Ledger[Tax Charged on Invoice],ROWS($B$27:$B239))</f>
        <v>0</v>
      </c>
      <c r="H239" s="159" cm="1">
        <f t="array" ref="H239">INDEX(tbl_Ledger[Expected Total Tax],ROWS($B$27:$B239))</f>
        <v>0</v>
      </c>
      <c r="I239" s="159" t="str" cm="1">
        <f t="array" ref="I239">INDEX(tbl_Ledger[Description],ROWS($B$27:$B239))</f>
        <v>Diesel (AGO) purchased for own fleet use, 6,307 litres</v>
      </c>
      <c r="J239" s="159" t="str" cm="1">
        <f t="array" ref="J239">INDEX(tbl_Ledger[Counterparty],ROWS($B$27:$B239))</f>
        <v>Zenith Fuel Depot Ltd</v>
      </c>
      <c r="K239" s="160" t="str">
        <f>IF(COUNTIF(Dup_Exclusions,$E239)&gt;0,"No","Yes")</f>
        <v>Yes</v>
      </c>
      <c r="L239" s="161" t="str">
        <f>IF(AND($D239="",COUNTIF(NoInv_Exempt,$E239)=0),"Yes","No")</f>
        <v>No</v>
      </c>
      <c r="M239" s="161" t="str" cm="1">
        <f t="array" ref="M239">IF(AND($D239&lt;&gt;"",$K239="Yes"),IF(SUMPRODUCT((tbl_Ledger[Invoice Number]=$D239)*(COUNTIF(Dup_Exclusions,tbl_Ledger[Tax Category])=0))&gt;1,"Yes","No"),"No")</f>
        <v>No</v>
      </c>
      <c r="N239" s="161" t="str">
        <f>IF(ABS($G239-$H239)&gt;Tax_Tolerance,"Yes","No")</f>
        <v>No</v>
      </c>
      <c r="O239" s="161" t="str">
        <f>IF(OR(AND($F239="Inflow",LEFT($E239,LEN(Prefix_Outflow))=Prefix_Outflow),AND($F239="Outflow",LEFT($E239,LEN(Prefix_Inflow))=Prefix_Inflow)),"Yes","No")</f>
        <v>No</v>
      </c>
      <c r="P239" s="161" t="str" cm="1">
        <f t="array" ref="P239">IF(AND(COUNTIF(Suspect_Categories,$E239)&gt;0,SUMPRODUCT(--ISNUMBER(SEARCH(Suspect_Keywords,$I239&amp;" "&amp;$J239)))&gt;0),"Yes","No")</f>
        <v>No</v>
      </c>
      <c r="Q239" s="161" t="str">
        <f t="shared" si="1"/>
        <v>No</v>
      </c>
    </row>
    <row r="240" spans="1:17" x14ac:dyDescent="0.3">
      <c r="A240" s="11"/>
      <c r="B240" s="157" cm="1">
        <f t="array" ref="B240">INDEX(tbl_Ledger[Row ID],ROWS($B$27:$B240))</f>
        <v>214</v>
      </c>
      <c r="C240" s="158" cm="1">
        <f t="array" ref="C240">INDEX(tbl_Ledger[Date],ROWS($B$27:$B240))</f>
        <v>46193</v>
      </c>
      <c r="D240" s="157" t="str" cm="1">
        <f t="array" ref="D240">IF(INDEX(tbl_Ledger[Invoice Number],ROWS($B$27:$B240))="","",INDEX(tbl_Ledger[Invoice Number],ROWS($B$27:$B240)))</f>
        <v>NHL-2026-0079</v>
      </c>
      <c r="E240" s="157" t="str" cm="1">
        <f t="array" ref="E240">INDEX(tbl_Ledger[Tax Category],ROWS($B$27:$B240))</f>
        <v>OUT_STD</v>
      </c>
      <c r="F240" s="157" t="str" cm="1">
        <f t="array" ref="F240">INDEX(tbl_Ledger[Direction],ROWS($B$27:$B240))</f>
        <v>Inflow</v>
      </c>
      <c r="G240" s="159" cm="1">
        <f t="array" ref="G240">INDEX(tbl_Ledger[Tax Charged on Invoice],ROWS($B$27:$B240))</f>
        <v>13748.8</v>
      </c>
      <c r="H240" s="159" cm="1">
        <f t="array" ref="H240">INDEX(tbl_Ledger[Expected Total Tax],ROWS($B$27:$B240))</f>
        <v>13748.800000000001</v>
      </c>
      <c r="I240" s="159" t="str" cm="1">
        <f t="array" ref="I240">INDEX(tbl_Ledger[Description],ROWS($B$27:$B240))</f>
        <v>Bulk haulage of LPG, Tema-Cape Coast, 8 trips</v>
      </c>
      <c r="J240" s="159" t="str" cm="1">
        <f t="array" ref="J240">INDEX(tbl_Ledger[Counterparty],ROWS($B$27:$B240))</f>
        <v>Tema Bulk Energy Ltd</v>
      </c>
      <c r="K240" s="160" t="str">
        <f>IF(COUNTIF(Dup_Exclusions,$E240)&gt;0,"No","Yes")</f>
        <v>Yes</v>
      </c>
      <c r="L240" s="161" t="str">
        <f>IF(AND($D240="",COUNTIF(NoInv_Exempt,$E240)=0),"Yes","No")</f>
        <v>No</v>
      </c>
      <c r="M240" s="161" t="str" cm="1">
        <f t="array" ref="M240">IF(AND($D240&lt;&gt;"",$K240="Yes"),IF(SUMPRODUCT((tbl_Ledger[Invoice Number]=$D240)*(COUNTIF(Dup_Exclusions,tbl_Ledger[Tax Category])=0))&gt;1,"Yes","No"),"No")</f>
        <v>No</v>
      </c>
      <c r="N240" s="161" t="str">
        <f>IF(ABS($G240-$H240)&gt;Tax_Tolerance,"Yes","No")</f>
        <v>No</v>
      </c>
      <c r="O240" s="161" t="str">
        <f>IF(OR(AND($F240="Inflow",LEFT($E240,LEN(Prefix_Outflow))=Prefix_Outflow),AND($F240="Outflow",LEFT($E240,LEN(Prefix_Inflow))=Prefix_Inflow)),"Yes","No")</f>
        <v>No</v>
      </c>
      <c r="P240" s="161" t="str" cm="1">
        <f t="array" ref="P240">IF(AND(COUNTIF(Suspect_Categories,$E240)&gt;0,SUMPRODUCT(--ISNUMBER(SEARCH(Suspect_Keywords,$I240&amp;" "&amp;$J240)))&gt;0),"Yes","No")</f>
        <v>No</v>
      </c>
      <c r="Q240" s="161" t="str">
        <f t="shared" si="1"/>
        <v>No</v>
      </c>
    </row>
    <row r="241" spans="1:17" x14ac:dyDescent="0.3">
      <c r="A241" s="11"/>
      <c r="B241" s="157" cm="1">
        <f t="array" ref="B241">INDEX(tbl_Ledger[Row ID],ROWS($B$27:$B241))</f>
        <v>215</v>
      </c>
      <c r="C241" s="158" cm="1">
        <f t="array" ref="C241">INDEX(tbl_Ledger[Date],ROWS($B$27:$B241))</f>
        <v>46194</v>
      </c>
      <c r="D241" s="157" t="str" cm="1">
        <f t="array" ref="D241">IF(INDEX(tbl_Ledger[Invoice Number],ROWS($B$27:$B241))="","",INDEX(tbl_Ledger[Invoice Number],ROWS($B$27:$B241)))</f>
        <v>NHL-2026-0080</v>
      </c>
      <c r="E241" s="157" t="str" cm="1">
        <f t="array" ref="E241">INDEX(tbl_Ledger[Tax Category],ROWS($B$27:$B241))</f>
        <v>OUT_STD</v>
      </c>
      <c r="F241" s="157" t="str" cm="1">
        <f t="array" ref="F241">INDEX(tbl_Ledger[Direction],ROWS($B$27:$B241))</f>
        <v>Inflow</v>
      </c>
      <c r="G241" s="159" cm="1">
        <f t="array" ref="G241">INDEX(tbl_Ledger[Tax Charged on Invoice],ROWS($B$27:$B241))</f>
        <v>15604.6</v>
      </c>
      <c r="H241" s="159" cm="1">
        <f t="array" ref="H241">INDEX(tbl_Ledger[Expected Total Tax],ROWS($B$27:$B241))</f>
        <v>15604.6</v>
      </c>
      <c r="I241" s="159" t="str" cm="1">
        <f t="array" ref="I241">INDEX(tbl_Ledger[Description],ROWS($B$27:$B241))</f>
        <v>Bulk haulage of LPG, Tema-Cape Coast, 7 trips</v>
      </c>
      <c r="J241" s="159" t="str" cm="1">
        <f t="array" ref="J241">INDEX(tbl_Ledger[Counterparty],ROWS($B$27:$B241))</f>
        <v>Sankofa Petroleum Depot Ltd</v>
      </c>
      <c r="K241" s="160" t="str">
        <f>IF(COUNTIF(Dup_Exclusions,$E241)&gt;0,"No","Yes")</f>
        <v>Yes</v>
      </c>
      <c r="L241" s="161" t="str">
        <f>IF(AND($D241="",COUNTIF(NoInv_Exempt,$E241)=0),"Yes","No")</f>
        <v>No</v>
      </c>
      <c r="M241" s="161" t="str" cm="1">
        <f t="array" ref="M241">IF(AND($D241&lt;&gt;"",$K241="Yes"),IF(SUMPRODUCT((tbl_Ledger[Invoice Number]=$D241)*(COUNTIF(Dup_Exclusions,tbl_Ledger[Tax Category])=0))&gt;1,"Yes","No"),"No")</f>
        <v>No</v>
      </c>
      <c r="N241" s="161" t="str">
        <f>IF(ABS($G241-$H241)&gt;Tax_Tolerance,"Yes","No")</f>
        <v>No</v>
      </c>
      <c r="O241" s="161" t="str">
        <f>IF(OR(AND($F241="Inflow",LEFT($E241,LEN(Prefix_Outflow))=Prefix_Outflow),AND($F241="Outflow",LEFT($E241,LEN(Prefix_Inflow))=Prefix_Inflow)),"Yes","No")</f>
        <v>No</v>
      </c>
      <c r="P241" s="161" t="str" cm="1">
        <f t="array" ref="P241">IF(AND(COUNTIF(Suspect_Categories,$E241)&gt;0,SUMPRODUCT(--ISNUMBER(SEARCH(Suspect_Keywords,$I241&amp;" "&amp;$J241)))&gt;0),"Yes","No")</f>
        <v>No</v>
      </c>
      <c r="Q241" s="161" t="str">
        <f t="shared" si="1"/>
        <v>No</v>
      </c>
    </row>
    <row r="242" spans="1:17" x14ac:dyDescent="0.3">
      <c r="A242" s="11"/>
      <c r="B242" s="157" cm="1">
        <f t="array" ref="B242">INDEX(tbl_Ledger[Row ID],ROWS($B$27:$B242))</f>
        <v>216</v>
      </c>
      <c r="C242" s="158" cm="1">
        <f t="array" ref="C242">INDEX(tbl_Ledger[Date],ROWS($B$27:$B242))</f>
        <v>46194</v>
      </c>
      <c r="D242" s="157" t="str" cm="1">
        <f t="array" ref="D242">IF(INDEX(tbl_Ledger[Invoice Number],ROWS($B$27:$B242))="","",INDEX(tbl_Ledger[Invoice Number],ROWS($B$27:$B242)))</f>
        <v>NHL-2026-0072</v>
      </c>
      <c r="E242" s="157" t="str" cm="1">
        <f t="array" ref="E242">INDEX(tbl_Ledger[Tax Category],ROWS($B$27:$B242))</f>
        <v>WHT_SVC</v>
      </c>
      <c r="F242" s="157" t="str" cm="1">
        <f t="array" ref="F242">INDEX(tbl_Ledger[Direction],ROWS($B$27:$B242))</f>
        <v>Inflow</v>
      </c>
      <c r="G242" s="159" cm="1">
        <f t="array" ref="G242">INDEX(tbl_Ledger[Tax Charged on Invoice],ROWS($B$27:$B242))</f>
        <v>20268</v>
      </c>
      <c r="H242" s="159" cm="1">
        <f t="array" ref="H242">INDEX(tbl_Ledger[Expected Total Tax],ROWS($B$27:$B242))</f>
        <v>20268</v>
      </c>
      <c r="I242" s="159" t="str" cm="1">
        <f t="array" ref="I242">INDEX(tbl_Ledger[Description],ROWS($B$27:$B242))</f>
        <v>Contract haulage of ATK, Takoradi-Tamale; customer withheld income tax at 7.5% on the service fee</v>
      </c>
      <c r="J242" s="159" t="str" cm="1">
        <f t="array" ref="J242">INDEX(tbl_Ledger[Counterparty],ROWS($B$27:$B242))</f>
        <v>Adinkra Oil Marketing Ltd</v>
      </c>
      <c r="K242" s="160" t="str">
        <f>IF(COUNTIF(Dup_Exclusions,$E242)&gt;0,"No","Yes")</f>
        <v>Yes</v>
      </c>
      <c r="L242" s="161" t="str">
        <f>IF(AND($D242="",COUNTIF(NoInv_Exempt,$E242)=0),"Yes","No")</f>
        <v>No</v>
      </c>
      <c r="M242" s="161" t="str" cm="1">
        <f t="array" ref="M242">IF(AND($D242&lt;&gt;"",$K242="Yes"),IF(SUMPRODUCT((tbl_Ledger[Invoice Number]=$D242)*(COUNTIF(Dup_Exclusions,tbl_Ledger[Tax Category])=0))&gt;1,"Yes","No"),"No")</f>
        <v>Yes</v>
      </c>
      <c r="N242" s="161" t="str">
        <f>IF(ABS($G242-$H242)&gt;Tax_Tolerance,"Yes","No")</f>
        <v>No</v>
      </c>
      <c r="O242" s="161" t="str">
        <f>IF(OR(AND($F242="Inflow",LEFT($E242,LEN(Prefix_Outflow))=Prefix_Outflow),AND($F242="Outflow",LEFT($E242,LEN(Prefix_Inflow))=Prefix_Inflow)),"Yes","No")</f>
        <v>No</v>
      </c>
      <c r="P242" s="161" t="str" cm="1">
        <f t="array" ref="P242">IF(AND(COUNTIF(Suspect_Categories,$E242)&gt;0,SUMPRODUCT(--ISNUMBER(SEARCH(Suspect_Keywords,$I242&amp;" "&amp;$J242)))&gt;0),"Yes","No")</f>
        <v>No</v>
      </c>
      <c r="Q242" s="161" t="str">
        <f t="shared" si="1"/>
        <v>Yes</v>
      </c>
    </row>
    <row r="243" spans="1:17" x14ac:dyDescent="0.3">
      <c r="A243" s="11"/>
      <c r="B243" s="157" cm="1">
        <f t="array" ref="B243">INDEX(tbl_Ledger[Row ID],ROWS($B$27:$B243))</f>
        <v>217</v>
      </c>
      <c r="C243" s="158" cm="1">
        <f t="array" ref="C243">INDEX(tbl_Ledger[Date],ROWS($B$27:$B243))</f>
        <v>46196</v>
      </c>
      <c r="D243" s="157" t="str" cm="1">
        <f t="array" ref="D243">IF(INDEX(tbl_Ledger[Invoice Number],ROWS($B$27:$B243))="","",INDEX(tbl_Ledger[Invoice Number],ROWS($B$27:$B243)))</f>
        <v>NHL-2026-0082</v>
      </c>
      <c r="E243" s="157" t="str" cm="1">
        <f t="array" ref="E243">INDEX(tbl_Ledger[Tax Category],ROWS($B$27:$B243))</f>
        <v>OUT_STD</v>
      </c>
      <c r="F243" s="157" t="str" cm="1">
        <f t="array" ref="F243">INDEX(tbl_Ledger[Direction],ROWS($B$27:$B243))</f>
        <v>Inflow</v>
      </c>
      <c r="G243" s="159" cm="1">
        <f t="array" ref="G243">INDEX(tbl_Ledger[Tax Charged on Invoice],ROWS($B$27:$B243))</f>
        <v>17796.2</v>
      </c>
      <c r="H243" s="159" cm="1">
        <f t="array" ref="H243">INDEX(tbl_Ledger[Expected Total Tax],ROWS($B$27:$B243))</f>
        <v>17796.2</v>
      </c>
      <c r="I243" s="159" t="str" cm="1">
        <f t="array" ref="I243">INDEX(tbl_Ledger[Description],ROWS($B$27:$B243))</f>
        <v>Bulk haulage of PMS, Takoradi-Wa, 2 trips</v>
      </c>
      <c r="J243" s="159" t="str" cm="1">
        <f t="array" ref="J243">INDEX(tbl_Ledger[Counterparty],ROWS($B$27:$B243))</f>
        <v>Adinkra Oil Marketing Ltd</v>
      </c>
      <c r="K243" s="160" t="str">
        <f>IF(COUNTIF(Dup_Exclusions,$E243)&gt;0,"No","Yes")</f>
        <v>Yes</v>
      </c>
      <c r="L243" s="161" t="str">
        <f>IF(AND($D243="",COUNTIF(NoInv_Exempt,$E243)=0),"Yes","No")</f>
        <v>No</v>
      </c>
      <c r="M243" s="161" t="str" cm="1">
        <f t="array" ref="M243">IF(AND($D243&lt;&gt;"",$K243="Yes"),IF(SUMPRODUCT((tbl_Ledger[Invoice Number]=$D243)*(COUNTIF(Dup_Exclusions,tbl_Ledger[Tax Category])=0))&gt;1,"Yes","No"),"No")</f>
        <v>No</v>
      </c>
      <c r="N243" s="161" t="str">
        <f>IF(ABS($G243-$H243)&gt;Tax_Tolerance,"Yes","No")</f>
        <v>No</v>
      </c>
      <c r="O243" s="161" t="str">
        <f>IF(OR(AND($F243="Inflow",LEFT($E243,LEN(Prefix_Outflow))=Prefix_Outflow),AND($F243="Outflow",LEFT($E243,LEN(Prefix_Inflow))=Prefix_Inflow)),"Yes","No")</f>
        <v>No</v>
      </c>
      <c r="P243" s="161" t="str" cm="1">
        <f t="array" ref="P243">IF(AND(COUNTIF(Suspect_Categories,$E243)&gt;0,SUMPRODUCT(--ISNUMBER(SEARCH(Suspect_Keywords,$I243&amp;" "&amp;$J243)))&gt;0),"Yes","No")</f>
        <v>No</v>
      </c>
      <c r="Q243" s="161" t="str">
        <f t="shared" si="1"/>
        <v>No</v>
      </c>
    </row>
    <row r="244" spans="1:17" x14ac:dyDescent="0.3">
      <c r="A244" s="11"/>
      <c r="B244" s="157" cm="1">
        <f t="array" ref="B244">INDEX(tbl_Ledger[Row ID],ROWS($B$27:$B244))</f>
        <v>218</v>
      </c>
      <c r="C244" s="158" cm="1">
        <f t="array" ref="C244">INDEX(tbl_Ledger[Date],ROWS($B$27:$B244))</f>
        <v>46198</v>
      </c>
      <c r="D244" s="157" t="str" cm="1">
        <f t="array" ref="D244">IF(INDEX(tbl_Ledger[Invoice Number],ROWS($B$27:$B244))="","",INDEX(tbl_Ledger[Invoice Number],ROWS($B$27:$B244)))</f>
        <v>BNK-2026-0017</v>
      </c>
      <c r="E244" s="157" t="str" cm="1">
        <f t="array" ref="E244">INDEX(tbl_Ledger[Tax Category],ROWS($B$27:$B244))</f>
        <v>IN_EXEMPT</v>
      </c>
      <c r="F244" s="157" t="str" cm="1">
        <f t="array" ref="F244">INDEX(tbl_Ledger[Direction],ROWS($B$27:$B244))</f>
        <v>Outflow</v>
      </c>
      <c r="G244" s="159" cm="1">
        <f t="array" ref="G244">INDEX(tbl_Ledger[Tax Charged on Invoice],ROWS($B$27:$B244))</f>
        <v>0</v>
      </c>
      <c r="H244" s="159" cm="1">
        <f t="array" ref="H244">INDEX(tbl_Ledger[Expected Total Tax],ROWS($B$27:$B244))</f>
        <v>0</v>
      </c>
      <c r="I244" s="159" t="str" cm="1">
        <f t="array" ref="I244">INDEX(tbl_Ledger[Description],ROWS($B$27:$B244))</f>
        <v>Transfer and settlement charges</v>
      </c>
      <c r="J244" s="159" t="str" cm="1">
        <f t="array" ref="J244">INDEX(tbl_Ledger[Counterparty],ROWS($B$27:$B244))</f>
        <v>Trust Union Bank Ltd</v>
      </c>
      <c r="K244" s="160" t="str">
        <f>IF(COUNTIF(Dup_Exclusions,$E244)&gt;0,"No","Yes")</f>
        <v>Yes</v>
      </c>
      <c r="L244" s="161" t="str">
        <f>IF(AND($D244="",COUNTIF(NoInv_Exempt,$E244)=0),"Yes","No")</f>
        <v>No</v>
      </c>
      <c r="M244" s="161" t="str" cm="1">
        <f t="array" ref="M244">IF(AND($D244&lt;&gt;"",$K244="Yes"),IF(SUMPRODUCT((tbl_Ledger[Invoice Number]=$D244)*(COUNTIF(Dup_Exclusions,tbl_Ledger[Tax Category])=0))&gt;1,"Yes","No"),"No")</f>
        <v>No</v>
      </c>
      <c r="N244" s="161" t="str">
        <f>IF(ABS($G244-$H244)&gt;Tax_Tolerance,"Yes","No")</f>
        <v>No</v>
      </c>
      <c r="O244" s="161" t="str">
        <f>IF(OR(AND($F244="Inflow",LEFT($E244,LEN(Prefix_Outflow))=Prefix_Outflow),AND($F244="Outflow",LEFT($E244,LEN(Prefix_Inflow))=Prefix_Inflow)),"Yes","No")</f>
        <v>No</v>
      </c>
      <c r="P244" s="161" t="str" cm="1">
        <f t="array" ref="P244">IF(AND(COUNTIF(Suspect_Categories,$E244)&gt;0,SUMPRODUCT(--ISNUMBER(SEARCH(Suspect_Keywords,$I244&amp;" "&amp;$J244)))&gt;0),"Yes","No")</f>
        <v>No</v>
      </c>
      <c r="Q244" s="161" t="str">
        <f t="shared" si="1"/>
        <v>No</v>
      </c>
    </row>
    <row r="245" spans="1:17" x14ac:dyDescent="0.3">
      <c r="A245" s="11"/>
      <c r="B245" s="157" cm="1">
        <f t="array" ref="B245">INDEX(tbl_Ledger[Row ID],ROWS($B$27:$B245))</f>
        <v>219</v>
      </c>
      <c r="C245" s="158" cm="1">
        <f t="array" ref="C245">INDEX(tbl_Ledger[Date],ROWS($B$27:$B245))</f>
        <v>46198</v>
      </c>
      <c r="D245" s="157" t="str" cm="1">
        <f t="array" ref="D245">IF(INDEX(tbl_Ledger[Invoice Number],ROWS($B$27:$B245))="","",INDEX(tbl_Ledger[Invoice Number],ROWS($B$27:$B245)))</f>
        <v>SIN-2026-0089</v>
      </c>
      <c r="E245" s="157" t="str" cm="1">
        <f t="array" ref="E245">INDEX(tbl_Ledger[Tax Category],ROWS($B$27:$B245))</f>
        <v>IN_EXEMPT</v>
      </c>
      <c r="F245" s="157" t="str" cm="1">
        <f t="array" ref="F245">INDEX(tbl_Ledger[Direction],ROWS($B$27:$B245))</f>
        <v>Outflow</v>
      </c>
      <c r="G245" s="159" cm="1">
        <f t="array" ref="G245">INDEX(tbl_Ledger[Tax Charged on Invoice],ROWS($B$27:$B245))</f>
        <v>0</v>
      </c>
      <c r="H245" s="159" cm="1">
        <f t="array" ref="H245">INDEX(tbl_Ledger[Expected Total Tax],ROWS($B$27:$B245))</f>
        <v>0</v>
      </c>
      <c r="I245" s="159" t="str" cm="1">
        <f t="array" ref="I245">INDEX(tbl_Ledger[Description],ROWS($B$27:$B245))</f>
        <v>Diesel (AGO) purchased for own fleet use, 15,416 litres</v>
      </c>
      <c r="J245" s="159" t="str" cm="1">
        <f t="array" ref="J245">INDEX(tbl_Ledger[Counterparty],ROWS($B$27:$B245))</f>
        <v>Zenith Fuel Depot Ltd</v>
      </c>
      <c r="K245" s="160" t="str">
        <f>IF(COUNTIF(Dup_Exclusions,$E245)&gt;0,"No","Yes")</f>
        <v>Yes</v>
      </c>
      <c r="L245" s="161" t="str">
        <f>IF(AND($D245="",COUNTIF(NoInv_Exempt,$E245)=0),"Yes","No")</f>
        <v>No</v>
      </c>
      <c r="M245" s="161" t="str" cm="1">
        <f t="array" ref="M245">IF(AND($D245&lt;&gt;"",$K245="Yes"),IF(SUMPRODUCT((tbl_Ledger[Invoice Number]=$D245)*(COUNTIF(Dup_Exclusions,tbl_Ledger[Tax Category])=0))&gt;1,"Yes","No"),"No")</f>
        <v>No</v>
      </c>
      <c r="N245" s="161" t="str">
        <f>IF(ABS($G245-$H245)&gt;Tax_Tolerance,"Yes","No")</f>
        <v>No</v>
      </c>
      <c r="O245" s="161" t="str">
        <f>IF(OR(AND($F245="Inflow",LEFT($E245,LEN(Prefix_Outflow))=Prefix_Outflow),AND($F245="Outflow",LEFT($E245,LEN(Prefix_Inflow))=Prefix_Inflow)),"Yes","No")</f>
        <v>No</v>
      </c>
      <c r="P245" s="161" t="str" cm="1">
        <f t="array" ref="P245">IF(AND(COUNTIF(Suspect_Categories,$E245)&gt;0,SUMPRODUCT(--ISNUMBER(SEARCH(Suspect_Keywords,$I245&amp;" "&amp;$J245)))&gt;0),"Yes","No")</f>
        <v>No</v>
      </c>
      <c r="Q245" s="161" t="str">
        <f t="shared" si="1"/>
        <v>No</v>
      </c>
    </row>
    <row r="246" spans="1:17" x14ac:dyDescent="0.3">
      <c r="A246" s="11"/>
      <c r="B246" s="157" cm="1">
        <f t="array" ref="B246">INDEX(tbl_Ledger[Row ID],ROWS($B$27:$B246))</f>
        <v>220</v>
      </c>
      <c r="C246" s="158" cm="1">
        <f t="array" ref="C246">INDEX(tbl_Ledger[Date],ROWS($B$27:$B246))</f>
        <v>46198</v>
      </c>
      <c r="D246" s="157" t="str" cm="1">
        <f t="array" ref="D246">IF(INDEX(tbl_Ledger[Invoice Number],ROWS($B$27:$B246))="","",INDEX(tbl_Ledger[Invoice Number],ROWS($B$27:$B246)))</f>
        <v>GRA-2026-0012</v>
      </c>
      <c r="E246" s="157" t="str" cm="1">
        <f t="array" ref="E246">INDEX(tbl_Ledger[Tax Category],ROWS($B$27:$B246))</f>
        <v>NO_VAT</v>
      </c>
      <c r="F246" s="157" t="str" cm="1">
        <f t="array" ref="F246">INDEX(tbl_Ledger[Direction],ROWS($B$27:$B246))</f>
        <v>Outflow</v>
      </c>
      <c r="G246" s="159" cm="1">
        <f t="array" ref="G246">INDEX(tbl_Ledger[Tax Charged on Invoice],ROWS($B$27:$B246))</f>
        <v>0</v>
      </c>
      <c r="H246" s="159" cm="1">
        <f t="array" ref="H246">INDEX(tbl_Ledger[Expected Total Tax],ROWS($B$27:$B246))</f>
        <v>0</v>
      </c>
      <c r="I246" s="159" t="str" cm="1">
        <f t="array" ref="I246">INDEX(tbl_Ledger[Description],ROWS($B$27:$B246))</f>
        <v>VAT and levies remitted to GRA for June period</v>
      </c>
      <c r="J246" s="159" t="str" cm="1">
        <f t="array" ref="J246">INDEX(tbl_Ledger[Counterparty],ROWS($B$27:$B246))</f>
        <v>Ghana Revenue Authority</v>
      </c>
      <c r="K246" s="160" t="str">
        <f>IF(COUNTIF(Dup_Exclusions,$E246)&gt;0,"No","Yes")</f>
        <v>Yes</v>
      </c>
      <c r="L246" s="161" t="str">
        <f>IF(AND($D246="",COUNTIF(NoInv_Exempt,$E246)=0),"Yes","No")</f>
        <v>No</v>
      </c>
      <c r="M246" s="161" t="str" cm="1">
        <f t="array" ref="M246">IF(AND($D246&lt;&gt;"",$K246="Yes"),IF(SUMPRODUCT((tbl_Ledger[Invoice Number]=$D246)*(COUNTIF(Dup_Exclusions,tbl_Ledger[Tax Category])=0))&gt;1,"Yes","No"),"No")</f>
        <v>No</v>
      </c>
      <c r="N246" s="161" t="str">
        <f>IF(ABS($G246-$H246)&gt;Tax_Tolerance,"Yes","No")</f>
        <v>No</v>
      </c>
      <c r="O246" s="161" t="str">
        <f>IF(OR(AND($F246="Inflow",LEFT($E246,LEN(Prefix_Outflow))=Prefix_Outflow),AND($F246="Outflow",LEFT($E246,LEN(Prefix_Inflow))=Prefix_Inflow)),"Yes","No")</f>
        <v>No</v>
      </c>
      <c r="P246" s="161" t="str" cm="1">
        <f t="array" ref="P246">IF(AND(COUNTIF(Suspect_Categories,$E246)&gt;0,SUMPRODUCT(--ISNUMBER(SEARCH(Suspect_Keywords,$I246&amp;" "&amp;$J246)))&gt;0),"Yes","No")</f>
        <v>No</v>
      </c>
      <c r="Q246" s="161" t="str">
        <f t="shared" si="1"/>
        <v>No</v>
      </c>
    </row>
    <row r="247" spans="1:17" x14ac:dyDescent="0.3">
      <c r="A247" s="11"/>
      <c r="B247" s="157" cm="1">
        <f t="array" ref="B247">INDEX(tbl_Ledger[Row ID],ROWS($B$27:$B247))</f>
        <v>221</v>
      </c>
      <c r="C247" s="158" cm="1">
        <f t="array" ref="C247">INDEX(tbl_Ledger[Date],ROWS($B$27:$B247))</f>
        <v>46200</v>
      </c>
      <c r="D247" s="157" t="str" cm="1">
        <f t="array" ref="D247">IF(INDEX(tbl_Ledger[Invoice Number],ROWS($B$27:$B247))="","",INDEX(tbl_Ledger[Invoice Number],ROWS($B$27:$B247)))</f>
        <v>SIN-2026-0090</v>
      </c>
      <c r="E247" s="157" t="str" cm="1">
        <f t="array" ref="E247">INDEX(tbl_Ledger[Tax Category],ROWS($B$27:$B247))</f>
        <v>IN_EXEMPT</v>
      </c>
      <c r="F247" s="157" t="str" cm="1">
        <f t="array" ref="F247">INDEX(tbl_Ledger[Direction],ROWS($B$27:$B247))</f>
        <v>Outflow</v>
      </c>
      <c r="G247" s="159" cm="1">
        <f t="array" ref="G247">INDEX(tbl_Ledger[Tax Charged on Invoice],ROWS($B$27:$B247))</f>
        <v>0</v>
      </c>
      <c r="H247" s="159" cm="1">
        <f t="array" ref="H247">INDEX(tbl_Ledger[Expected Total Tax],ROWS($B$27:$B247))</f>
        <v>0</v>
      </c>
      <c r="I247" s="159" t="str" cm="1">
        <f t="array" ref="I247">INDEX(tbl_Ledger[Description],ROWS($B$27:$B247))</f>
        <v>Diesel (AGO) purchased for own fleet use, 15,812 litres</v>
      </c>
      <c r="J247" s="159" t="str" cm="1">
        <f t="array" ref="J247">INDEX(tbl_Ledger[Counterparty],ROWS($B$27:$B247))</f>
        <v>Zenith Fuel Depot Ltd</v>
      </c>
      <c r="K247" s="160" t="str">
        <f>IF(COUNTIF(Dup_Exclusions,$E247)&gt;0,"No","Yes")</f>
        <v>Yes</v>
      </c>
      <c r="L247" s="161" t="str">
        <f>IF(AND($D247="",COUNTIF(NoInv_Exempt,$E247)=0),"Yes","No")</f>
        <v>No</v>
      </c>
      <c r="M247" s="161" t="str" cm="1">
        <f t="array" ref="M247">IF(AND($D247&lt;&gt;"",$K247="Yes"),IF(SUMPRODUCT((tbl_Ledger[Invoice Number]=$D247)*(COUNTIF(Dup_Exclusions,tbl_Ledger[Tax Category])=0))&gt;1,"Yes","No"),"No")</f>
        <v>No</v>
      </c>
      <c r="N247" s="161" t="str">
        <f>IF(ABS($G247-$H247)&gt;Tax_Tolerance,"Yes","No")</f>
        <v>No</v>
      </c>
      <c r="O247" s="161" t="str">
        <f>IF(OR(AND($F247="Inflow",LEFT($E247,LEN(Prefix_Outflow))=Prefix_Outflow),AND($F247="Outflow",LEFT($E247,LEN(Prefix_Inflow))=Prefix_Inflow)),"Yes","No")</f>
        <v>No</v>
      </c>
      <c r="P247" s="161" t="str" cm="1">
        <f t="array" ref="P247">IF(AND(COUNTIF(Suspect_Categories,$E247)&gt;0,SUMPRODUCT(--ISNUMBER(SEARCH(Suspect_Keywords,$I247&amp;" "&amp;$J247)))&gt;0),"Yes","No")</f>
        <v>No</v>
      </c>
      <c r="Q247" s="161" t="str">
        <f t="shared" si="1"/>
        <v>No</v>
      </c>
    </row>
    <row r="248" spans="1:17" x14ac:dyDescent="0.3">
      <c r="A248" s="11"/>
      <c r="B248" s="157" cm="1">
        <f t="array" ref="B248">INDEX(tbl_Ledger[Row ID],ROWS($B$27:$B248))</f>
        <v>222</v>
      </c>
      <c r="C248" s="158" cm="1">
        <f t="array" ref="C248">INDEX(tbl_Ledger[Date],ROWS($B$27:$B248))</f>
        <v>46200</v>
      </c>
      <c r="D248" s="157" t="str" cm="1">
        <f t="array" ref="D248">IF(INDEX(tbl_Ledger[Invoice Number],ROWS($B$27:$B248))="","",INDEX(tbl_Ledger[Invoice Number],ROWS($B$27:$B248)))</f>
        <v>NHL-2026-0083</v>
      </c>
      <c r="E248" s="157" t="str" cm="1">
        <f t="array" ref="E248">INDEX(tbl_Ledger[Tax Category],ROWS($B$27:$B248))</f>
        <v>WHT_SVC</v>
      </c>
      <c r="F248" s="157" t="str" cm="1">
        <f t="array" ref="F248">INDEX(tbl_Ledger[Direction],ROWS($B$27:$B248))</f>
        <v>Inflow</v>
      </c>
      <c r="G248" s="159" cm="1">
        <f t="array" ref="G248">INDEX(tbl_Ledger[Tax Charged on Invoice],ROWS($B$27:$B248))</f>
        <v>9932.2000000000007</v>
      </c>
      <c r="H248" s="159" cm="1">
        <f t="array" ref="H248">INDEX(tbl_Ledger[Expected Total Tax],ROWS($B$27:$B248))</f>
        <v>9932.1999999999989</v>
      </c>
      <c r="I248" s="159" t="str" cm="1">
        <f t="array" ref="I248">INDEX(tbl_Ledger[Description],ROWS($B$27:$B248))</f>
        <v>Contract haulage of AGO, Tema-Bolgatanga; customer withheld income tax at 7.5% on the service fee</v>
      </c>
      <c r="J248" s="159" t="str" cm="1">
        <f t="array" ref="J248">INDEX(tbl_Ledger[Counterparty],ROWS($B$27:$B248))</f>
        <v>Volta Star Fuels Ltd</v>
      </c>
      <c r="K248" s="160" t="str">
        <f>IF(COUNTIF(Dup_Exclusions,$E248)&gt;0,"No","Yes")</f>
        <v>Yes</v>
      </c>
      <c r="L248" s="161" t="str">
        <f>IF(AND($D248="",COUNTIF(NoInv_Exempt,$E248)=0),"Yes","No")</f>
        <v>No</v>
      </c>
      <c r="M248" s="161" t="str" cm="1">
        <f t="array" ref="M248">IF(AND($D248&lt;&gt;"",$K248="Yes"),IF(SUMPRODUCT((tbl_Ledger[Invoice Number]=$D248)*(COUNTIF(Dup_Exclusions,tbl_Ledger[Tax Category])=0))&gt;1,"Yes","No"),"No")</f>
        <v>No</v>
      </c>
      <c r="N248" s="161" t="str">
        <f>IF(ABS($G248-$H248)&gt;Tax_Tolerance,"Yes","No")</f>
        <v>No</v>
      </c>
      <c r="O248" s="161" t="str">
        <f>IF(OR(AND($F248="Inflow",LEFT($E248,LEN(Prefix_Outflow))=Prefix_Outflow),AND($F248="Outflow",LEFT($E248,LEN(Prefix_Inflow))=Prefix_Inflow)),"Yes","No")</f>
        <v>No</v>
      </c>
      <c r="P248" s="161" t="str" cm="1">
        <f t="array" ref="P248">IF(AND(COUNTIF(Suspect_Categories,$E248)&gt;0,SUMPRODUCT(--ISNUMBER(SEARCH(Suspect_Keywords,$I248&amp;" "&amp;$J248)))&gt;0),"Yes","No")</f>
        <v>No</v>
      </c>
      <c r="Q248" s="161" t="str">
        <f t="shared" si="1"/>
        <v>No</v>
      </c>
    </row>
    <row r="249" spans="1:17" x14ac:dyDescent="0.3">
      <c r="A249" s="11"/>
      <c r="B249" s="157" cm="1">
        <f t="array" ref="B249">INDEX(tbl_Ledger[Row ID],ROWS($B$27:$B249))</f>
        <v>223</v>
      </c>
      <c r="C249" s="158" cm="1">
        <f t="array" ref="C249">INDEX(tbl_Ledger[Date],ROWS($B$27:$B249))</f>
        <v>46201</v>
      </c>
      <c r="D249" s="157" t="str" cm="1">
        <f t="array" ref="D249">IF(INDEX(tbl_Ledger[Invoice Number],ROWS($B$27:$B249))="","",INDEX(tbl_Ledger[Invoice Number],ROWS($B$27:$B249)))</f>
        <v>SIN-2026-0091</v>
      </c>
      <c r="E249" s="157" t="str" cm="1">
        <f t="array" ref="E249">INDEX(tbl_Ledger[Tax Category],ROWS($B$27:$B249))</f>
        <v>IN_EXEMPT</v>
      </c>
      <c r="F249" s="157" t="str" cm="1">
        <f t="array" ref="F249">INDEX(tbl_Ledger[Direction],ROWS($B$27:$B249))</f>
        <v>Outflow</v>
      </c>
      <c r="G249" s="159" cm="1">
        <f t="array" ref="G249">INDEX(tbl_Ledger[Tax Charged on Invoice],ROWS($B$27:$B249))</f>
        <v>0</v>
      </c>
      <c r="H249" s="159" cm="1">
        <f t="array" ref="H249">INDEX(tbl_Ledger[Expected Total Tax],ROWS($B$27:$B249))</f>
        <v>0</v>
      </c>
      <c r="I249" s="159" t="str" cm="1">
        <f t="array" ref="I249">INDEX(tbl_Ledger[Description],ROWS($B$27:$B249))</f>
        <v>Diesel (AGO) purchased for own fleet use, 13,825 litres</v>
      </c>
      <c r="J249" s="159" t="str" cm="1">
        <f t="array" ref="J249">INDEX(tbl_Ledger[Counterparty],ROWS($B$27:$B249))</f>
        <v>Zenith Fuel Depot Ltd</v>
      </c>
      <c r="K249" s="160" t="str">
        <f>IF(COUNTIF(Dup_Exclusions,$E249)&gt;0,"No","Yes")</f>
        <v>Yes</v>
      </c>
      <c r="L249" s="161" t="str">
        <f>IF(AND($D249="",COUNTIF(NoInv_Exempt,$E249)=0),"Yes","No")</f>
        <v>No</v>
      </c>
      <c r="M249" s="161" t="str" cm="1">
        <f t="array" ref="M249">IF(AND($D249&lt;&gt;"",$K249="Yes"),IF(SUMPRODUCT((tbl_Ledger[Invoice Number]=$D249)*(COUNTIF(Dup_Exclusions,tbl_Ledger[Tax Category])=0))&gt;1,"Yes","No"),"No")</f>
        <v>No</v>
      </c>
      <c r="N249" s="161" t="str">
        <f>IF(ABS($G249-$H249)&gt;Tax_Tolerance,"Yes","No")</f>
        <v>No</v>
      </c>
      <c r="O249" s="161" t="str">
        <f>IF(OR(AND($F249="Inflow",LEFT($E249,LEN(Prefix_Outflow))=Prefix_Outflow),AND($F249="Outflow",LEFT($E249,LEN(Prefix_Inflow))=Prefix_Inflow)),"Yes","No")</f>
        <v>No</v>
      </c>
      <c r="P249" s="161" t="str" cm="1">
        <f t="array" ref="P249">IF(AND(COUNTIF(Suspect_Categories,$E249)&gt;0,SUMPRODUCT(--ISNUMBER(SEARCH(Suspect_Keywords,$I249&amp;" "&amp;$J249)))&gt;0),"Yes","No")</f>
        <v>No</v>
      </c>
      <c r="Q249" s="161" t="str">
        <f t="shared" si="1"/>
        <v>No</v>
      </c>
    </row>
    <row r="250" spans="1:17" x14ac:dyDescent="0.3">
      <c r="A250" s="11"/>
      <c r="B250" s="157" cm="1">
        <f t="array" ref="B250">INDEX(tbl_Ledger[Row ID],ROWS($B$27:$B250))</f>
        <v>224</v>
      </c>
      <c r="C250" s="158" cm="1">
        <f t="array" ref="C250">INDEX(tbl_Ledger[Date],ROWS($B$27:$B250))</f>
        <v>46202</v>
      </c>
      <c r="D250" s="157" t="str" cm="1">
        <f t="array" ref="D250">IF(INDEX(tbl_Ledger[Invoice Number],ROWS($B$27:$B250))="","",INDEX(tbl_Ledger[Invoice Number],ROWS($B$27:$B250)))</f>
        <v>SIN-2026-0092</v>
      </c>
      <c r="E250" s="157" t="str" cm="1">
        <f t="array" ref="E250">INDEX(tbl_Ledger[Tax Category],ROWS($B$27:$B250))</f>
        <v>IN_NONDED</v>
      </c>
      <c r="F250" s="157" t="str" cm="1">
        <f t="array" ref="F250">INDEX(tbl_Ledger[Direction],ROWS($B$27:$B250))</f>
        <v>Outflow</v>
      </c>
      <c r="G250" s="159" cm="1">
        <f t="array" ref="G250">INDEX(tbl_Ledger[Tax Charged on Invoice],ROWS($B$27:$B250))</f>
        <v>946.2</v>
      </c>
      <c r="H250" s="159" cm="1">
        <f t="array" ref="H250">INDEX(tbl_Ledger[Expected Total Tax],ROWS($B$27:$B250))</f>
        <v>946.19999999999993</v>
      </c>
      <c r="I250" s="159" t="str" cm="1">
        <f t="array" ref="I250">INDEX(tbl_Ledger[Description],ROWS($B$27:$B250))</f>
        <v>Passenger vehicle running costs - management car</v>
      </c>
      <c r="J250" s="159" t="str" cm="1">
        <f t="array" ref="J250">INDEX(tbl_Ledger[Counterparty],ROWS($B$27:$B250))</f>
        <v>Sunset Lounge Ltd</v>
      </c>
      <c r="K250" s="160" t="str">
        <f>IF(COUNTIF(Dup_Exclusions,$E250)&gt;0,"No","Yes")</f>
        <v>Yes</v>
      </c>
      <c r="L250" s="161" t="str">
        <f>IF(AND($D250="",COUNTIF(NoInv_Exempt,$E250)=0),"Yes","No")</f>
        <v>No</v>
      </c>
      <c r="M250" s="161" t="str" cm="1">
        <f t="array" ref="M250">IF(AND($D250&lt;&gt;"",$K250="Yes"),IF(SUMPRODUCT((tbl_Ledger[Invoice Number]=$D250)*(COUNTIF(Dup_Exclusions,tbl_Ledger[Tax Category])=0))&gt;1,"Yes","No"),"No")</f>
        <v>No</v>
      </c>
      <c r="N250" s="161" t="str">
        <f>IF(ABS($G250-$H250)&gt;Tax_Tolerance,"Yes","No")</f>
        <v>No</v>
      </c>
      <c r="O250" s="161" t="str">
        <f>IF(OR(AND($F250="Inflow",LEFT($E250,LEN(Prefix_Outflow))=Prefix_Outflow),AND($F250="Outflow",LEFT($E250,LEN(Prefix_Inflow))=Prefix_Inflow)),"Yes","No")</f>
        <v>No</v>
      </c>
      <c r="P250" s="161" t="str" cm="1">
        <f t="array" ref="P250">IF(AND(COUNTIF(Suspect_Categories,$E250)&gt;0,SUMPRODUCT(--ISNUMBER(SEARCH(Suspect_Keywords,$I250&amp;" "&amp;$J250)))&gt;0),"Yes","No")</f>
        <v>No</v>
      </c>
      <c r="Q250" s="161" t="str">
        <f t="shared" si="1"/>
        <v>No</v>
      </c>
    </row>
    <row r="251" spans="1:17" x14ac:dyDescent="0.3">
      <c r="A251" s="11"/>
      <c r="B251" s="157" cm="1">
        <f t="array" ref="B251">INDEX(tbl_Ledger[Row ID],ROWS($B$27:$B251))</f>
        <v>225</v>
      </c>
      <c r="C251" s="158" cm="1">
        <f t="array" ref="C251">INDEX(tbl_Ledger[Date],ROWS($B$27:$B251))</f>
        <v>46202</v>
      </c>
      <c r="D251" s="157" t="str" cm="1">
        <f t="array" ref="D251">IF(INDEX(tbl_Ledger[Invoice Number],ROWS($B$27:$B251))="","",INDEX(tbl_Ledger[Invoice Number],ROWS($B$27:$B251)))</f>
        <v>SIN-2026-0093</v>
      </c>
      <c r="E251" s="157" t="str" cm="1">
        <f t="array" ref="E251">INDEX(tbl_Ledger[Tax Category],ROWS($B$27:$B251))</f>
        <v>IN_STD</v>
      </c>
      <c r="F251" s="157" t="str" cm="1">
        <f t="array" ref="F251">INDEX(tbl_Ledger[Direction],ROWS($B$27:$B251))</f>
        <v>Outflow</v>
      </c>
      <c r="G251" s="159" cm="1">
        <f t="array" ref="G251">INDEX(tbl_Ledger[Tax Charged on Invoice],ROWS($B$27:$B251))</f>
        <v>13660</v>
      </c>
      <c r="H251" s="159" cm="1">
        <f t="array" ref="H251">INDEX(tbl_Ledger[Expected Total Tax],ROWS($B$27:$B251))</f>
        <v>13660</v>
      </c>
      <c r="I251" s="159" t="str" cm="1">
        <f t="array" ref="I251">INDEX(tbl_Ledger[Description],ROWS($B$27:$B251))</f>
        <v>Staff salaries and wages - supplementary run</v>
      </c>
      <c r="J251" s="159" t="str" cm="1">
        <f t="array" ref="J251">INDEX(tbl_Ledger[Counterparty],ROWS($B$27:$B251))</f>
        <v>Nkabom Haulage Payroll</v>
      </c>
      <c r="K251" s="160" t="str">
        <f>IF(COUNTIF(Dup_Exclusions,$E251)&gt;0,"No","Yes")</f>
        <v>Yes</v>
      </c>
      <c r="L251" s="161" t="str">
        <f>IF(AND($D251="",COUNTIF(NoInv_Exempt,$E251)=0),"Yes","No")</f>
        <v>No</v>
      </c>
      <c r="M251" s="161" t="str" cm="1">
        <f t="array" ref="M251">IF(AND($D251&lt;&gt;"",$K251="Yes"),IF(SUMPRODUCT((tbl_Ledger[Invoice Number]=$D251)*(COUNTIF(Dup_Exclusions,tbl_Ledger[Tax Category])=0))&gt;1,"Yes","No"),"No")</f>
        <v>No</v>
      </c>
      <c r="N251" s="161" t="str">
        <f>IF(ABS($G251-$H251)&gt;Tax_Tolerance,"Yes","No")</f>
        <v>No</v>
      </c>
      <c r="O251" s="161" t="str">
        <f>IF(OR(AND($F251="Inflow",LEFT($E251,LEN(Prefix_Outflow))=Prefix_Outflow),AND($F251="Outflow",LEFT($E251,LEN(Prefix_Inflow))=Prefix_Inflow)),"Yes","No")</f>
        <v>No</v>
      </c>
      <c r="P251" s="161" t="str" cm="1">
        <f t="array" ref="P251">IF(AND(COUNTIF(Suspect_Categories,$E251)&gt;0,SUMPRODUCT(--ISNUMBER(SEARCH(Suspect_Keywords,$I251&amp;" "&amp;$J251)))&gt;0),"Yes","No")</f>
        <v>Yes</v>
      </c>
      <c r="Q251" s="161" t="str">
        <f t="shared" si="1"/>
        <v>Yes</v>
      </c>
    </row>
    <row r="252" spans="1:17" x14ac:dyDescent="0.3">
      <c r="A252" s="11"/>
      <c r="B252" s="157" cm="1">
        <f t="array" ref="B252">INDEX(tbl_Ledger[Row ID],ROWS($B$27:$B252))</f>
        <v>226</v>
      </c>
      <c r="C252" s="158" cm="1">
        <f t="array" ref="C252">INDEX(tbl_Ledger[Date],ROWS($B$27:$B252))</f>
        <v>46203</v>
      </c>
      <c r="D252" s="157" t="str" cm="1">
        <f t="array" ref="D252">IF(INDEX(tbl_Ledger[Invoice Number],ROWS($B$27:$B252))="","",INDEX(tbl_Ledger[Invoice Number],ROWS($B$27:$B252)))</f>
        <v>PAY-2026-0006</v>
      </c>
      <c r="E252" s="157" t="str" cm="1">
        <f t="array" ref="E252">INDEX(tbl_Ledger[Tax Category],ROWS($B$27:$B252))</f>
        <v>NO_VAT</v>
      </c>
      <c r="F252" s="157" t="str" cm="1">
        <f t="array" ref="F252">INDEX(tbl_Ledger[Direction],ROWS($B$27:$B252))</f>
        <v>Outflow</v>
      </c>
      <c r="G252" s="159" cm="1">
        <f t="array" ref="G252">INDEX(tbl_Ledger[Tax Charged on Invoice],ROWS($B$27:$B252))</f>
        <v>0</v>
      </c>
      <c r="H252" s="159" cm="1">
        <f t="array" ref="H252">INDEX(tbl_Ledger[Expected Total Tax],ROWS($B$27:$B252))</f>
        <v>0</v>
      </c>
      <c r="I252" s="159" t="str" cm="1">
        <f t="array" ref="I252">INDEX(tbl_Ledger[Description],ROWS($B$27:$B252))</f>
        <v>Staff salaries and wages - June</v>
      </c>
      <c r="J252" s="159" t="str" cm="1">
        <f t="array" ref="J252">INDEX(tbl_Ledger[Counterparty],ROWS($B$27:$B252))</f>
        <v>Nkabom Haulage Payroll</v>
      </c>
      <c r="K252" s="160" t="str">
        <f>IF(COUNTIF(Dup_Exclusions,$E252)&gt;0,"No","Yes")</f>
        <v>Yes</v>
      </c>
      <c r="L252" s="161" t="str">
        <f>IF(AND($D252="",COUNTIF(NoInv_Exempt,$E252)=0),"Yes","No")</f>
        <v>No</v>
      </c>
      <c r="M252" s="161" t="str" cm="1">
        <f t="array" ref="M252">IF(AND($D252&lt;&gt;"",$K252="Yes"),IF(SUMPRODUCT((tbl_Ledger[Invoice Number]=$D252)*(COUNTIF(Dup_Exclusions,tbl_Ledger[Tax Category])=0))&gt;1,"Yes","No"),"No")</f>
        <v>No</v>
      </c>
      <c r="N252" s="161" t="str">
        <f>IF(ABS($G252-$H252)&gt;Tax_Tolerance,"Yes","No")</f>
        <v>No</v>
      </c>
      <c r="O252" s="161" t="str">
        <f>IF(OR(AND($F252="Inflow",LEFT($E252,LEN(Prefix_Outflow))=Prefix_Outflow),AND($F252="Outflow",LEFT($E252,LEN(Prefix_Inflow))=Prefix_Inflow)),"Yes","No")</f>
        <v>No</v>
      </c>
      <c r="P252" s="161" t="str" cm="1">
        <f t="array" ref="P252">IF(AND(COUNTIF(Suspect_Categories,$E252)&gt;0,SUMPRODUCT(--ISNUMBER(SEARCH(Suspect_Keywords,$I252&amp;" "&amp;$J252)))&gt;0),"Yes","No")</f>
        <v>No</v>
      </c>
      <c r="Q252" s="161" t="str">
        <f t="shared" si="1"/>
        <v>No</v>
      </c>
    </row>
    <row r="253" spans="1:17" x14ac:dyDescent="0.3">
      <c r="A253" s="11"/>
      <c r="B253" s="157" cm="1">
        <f t="array" ref="B253">INDEX(tbl_Ledger[Row ID],ROWS($B$27:$B253))</f>
        <v>227</v>
      </c>
      <c r="C253" s="158" cm="1">
        <f t="array" ref="C253">INDEX(tbl_Ledger[Date],ROWS($B$27:$B253))</f>
        <v>46203</v>
      </c>
      <c r="D253" s="157" t="str" cm="1">
        <f t="array" ref="D253">IF(INDEX(tbl_Ledger[Invoice Number],ROWS($B$27:$B253))="","",INDEX(tbl_Ledger[Invoice Number],ROWS($B$27:$B253)))</f>
        <v>NHL-2026-0084</v>
      </c>
      <c r="E253" s="157" t="str" cm="1">
        <f t="array" ref="E253">INDEX(tbl_Ledger[Tax Category],ROWS($B$27:$B253))</f>
        <v>OUT_STD</v>
      </c>
      <c r="F253" s="157" t="str" cm="1">
        <f t="array" ref="F253">INDEX(tbl_Ledger[Direction],ROWS($B$27:$B253))</f>
        <v>Inflow</v>
      </c>
      <c r="G253" s="159" cm="1">
        <f t="array" ref="G253">INDEX(tbl_Ledger[Tax Charged on Invoice],ROWS($B$27:$B253))</f>
        <v>17191.8</v>
      </c>
      <c r="H253" s="159" cm="1">
        <f t="array" ref="H253">INDEX(tbl_Ledger[Expected Total Tax],ROWS($B$27:$B253))</f>
        <v>17191.8</v>
      </c>
      <c r="I253" s="159" t="str" cm="1">
        <f t="array" ref="I253">INDEX(tbl_Ledger[Description],ROWS($B$27:$B253))</f>
        <v>Bulk haulage of ATK, Tema-Kumasi, 3 trips</v>
      </c>
      <c r="J253" s="159" t="str" cm="1">
        <f t="array" ref="J253">INDEX(tbl_Ledger[Counterparty],ROWS($B$27:$B253))</f>
        <v>Sankofa Petroleum Depot Ltd</v>
      </c>
      <c r="K253" s="160" t="str">
        <f>IF(COUNTIF(Dup_Exclusions,$E253)&gt;0,"No","Yes")</f>
        <v>Yes</v>
      </c>
      <c r="L253" s="161" t="str">
        <f>IF(AND($D253="",COUNTIF(NoInv_Exempt,$E253)=0),"Yes","No")</f>
        <v>No</v>
      </c>
      <c r="M253" s="161" t="str" cm="1">
        <f t="array" ref="M253">IF(AND($D253&lt;&gt;"",$K253="Yes"),IF(SUMPRODUCT((tbl_Ledger[Invoice Number]=$D253)*(COUNTIF(Dup_Exclusions,tbl_Ledger[Tax Category])=0))&gt;1,"Yes","No"),"No")</f>
        <v>No</v>
      </c>
      <c r="N253" s="161" t="str">
        <f>IF(ABS($G253-$H253)&gt;Tax_Tolerance,"Yes","No")</f>
        <v>No</v>
      </c>
      <c r="O253" s="161" t="str">
        <f>IF(OR(AND($F253="Inflow",LEFT($E253,LEN(Prefix_Outflow))=Prefix_Outflow),AND($F253="Outflow",LEFT($E253,LEN(Prefix_Inflow))=Prefix_Inflow)),"Yes","No")</f>
        <v>No</v>
      </c>
      <c r="P253" s="161" t="str" cm="1">
        <f t="array" ref="P253">IF(AND(COUNTIF(Suspect_Categories,$E253)&gt;0,SUMPRODUCT(--ISNUMBER(SEARCH(Suspect_Keywords,$I253&amp;" "&amp;$J253)))&gt;0),"Yes","No")</f>
        <v>No</v>
      </c>
      <c r="Q253" s="161" t="str">
        <f t="shared" si="1"/>
        <v>No</v>
      </c>
    </row>
    <row r="254" spans="1:17" x14ac:dyDescent="0.3">
      <c r="A254" s="11"/>
      <c r="B254" s="157" cm="1">
        <f t="array" ref="B254">INDEX(tbl_Ledger[Row ID],ROWS($B$27:$B254))</f>
        <v>228</v>
      </c>
      <c r="C254" s="158" cm="1">
        <f t="array" ref="C254">INDEX(tbl_Ledger[Date],ROWS($B$27:$B254))</f>
        <v>46204</v>
      </c>
      <c r="D254" s="157" t="str" cm="1">
        <f t="array" ref="D254">IF(INDEX(tbl_Ledger[Invoice Number],ROWS($B$27:$B254))="","",INDEX(tbl_Ledger[Invoice Number],ROWS($B$27:$B254)))</f>
        <v>SIN-2026-0094</v>
      </c>
      <c r="E254" s="157" t="str" cm="1">
        <f t="array" ref="E254">INDEX(tbl_Ledger[Tax Category],ROWS($B$27:$B254))</f>
        <v>IN_STD</v>
      </c>
      <c r="F254" s="157" t="str" cm="1">
        <f t="array" ref="F254">INDEX(tbl_Ledger[Direction],ROWS($B$27:$B254))</f>
        <v>Outflow</v>
      </c>
      <c r="G254" s="159" cm="1">
        <f t="array" ref="G254">INDEX(tbl_Ledger[Tax Charged on Invoice],ROWS($B$27:$B254))</f>
        <v>869.8</v>
      </c>
      <c r="H254" s="159" cm="1">
        <f t="array" ref="H254">INDEX(tbl_Ledger[Expected Total Tax],ROWS($B$27:$B254))</f>
        <v>869.80000000000007</v>
      </c>
      <c r="I254" s="159" t="str" cm="1">
        <f t="array" ref="I254">INDEX(tbl_Ledger[Description],ROWS($B$27:$B254))</f>
        <v>Workshop consumables and lubricants</v>
      </c>
      <c r="J254" s="159" t="str" cm="1">
        <f t="array" ref="J254">INDEX(tbl_Ledger[Counterparty],ROWS($B$27:$B254))</f>
        <v>Sahara Fleet Services Ltd</v>
      </c>
      <c r="K254" s="160" t="str">
        <f>IF(COUNTIF(Dup_Exclusions,$E254)&gt;0,"No","Yes")</f>
        <v>Yes</v>
      </c>
      <c r="L254" s="161" t="str">
        <f>IF(AND($D254="",COUNTIF(NoInv_Exempt,$E254)=0),"Yes","No")</f>
        <v>No</v>
      </c>
      <c r="M254" s="161" t="str" cm="1">
        <f t="array" ref="M254">IF(AND($D254&lt;&gt;"",$K254="Yes"),IF(SUMPRODUCT((tbl_Ledger[Invoice Number]=$D254)*(COUNTIF(Dup_Exclusions,tbl_Ledger[Tax Category])=0))&gt;1,"Yes","No"),"No")</f>
        <v>No</v>
      </c>
      <c r="N254" s="161" t="str">
        <f>IF(ABS($G254-$H254)&gt;Tax_Tolerance,"Yes","No")</f>
        <v>No</v>
      </c>
      <c r="O254" s="161" t="str">
        <f>IF(OR(AND($F254="Inflow",LEFT($E254,LEN(Prefix_Outflow))=Prefix_Outflow),AND($F254="Outflow",LEFT($E254,LEN(Prefix_Inflow))=Prefix_Inflow)),"Yes","No")</f>
        <v>No</v>
      </c>
      <c r="P254" s="161" t="str" cm="1">
        <f t="array" ref="P254">IF(AND(COUNTIF(Suspect_Categories,$E254)&gt;0,SUMPRODUCT(--ISNUMBER(SEARCH(Suspect_Keywords,$I254&amp;" "&amp;$J254)))&gt;0),"Yes","No")</f>
        <v>No</v>
      </c>
      <c r="Q254" s="161" t="str">
        <f t="shared" si="1"/>
        <v>No</v>
      </c>
    </row>
    <row r="255" spans="1:17" x14ac:dyDescent="0.3">
      <c r="A255" s="11"/>
      <c r="B255" s="157" cm="1">
        <f t="array" ref="B255">INDEX(tbl_Ledger[Row ID],ROWS($B$27:$B255))</f>
        <v>229</v>
      </c>
      <c r="C255" s="158" cm="1">
        <f t="array" ref="C255">INDEX(tbl_Ledger[Date],ROWS($B$27:$B255))</f>
        <v>46204</v>
      </c>
      <c r="D255" s="157" t="str" cm="1">
        <f t="array" ref="D255">IF(INDEX(tbl_Ledger[Invoice Number],ROWS($B$27:$B255))="","",INDEX(tbl_Ledger[Invoice Number],ROWS($B$27:$B255)))</f>
        <v>NHL-2026-0085</v>
      </c>
      <c r="E255" s="157" t="str" cm="1">
        <f t="array" ref="E255">INDEX(tbl_Ledger[Tax Category],ROWS($B$27:$B255))</f>
        <v>OUT_STD</v>
      </c>
      <c r="F255" s="157" t="str" cm="1">
        <f t="array" ref="F255">INDEX(tbl_Ledger[Direction],ROWS($B$27:$B255))</f>
        <v>Inflow</v>
      </c>
      <c r="G255" s="159" cm="1">
        <f t="array" ref="G255">INDEX(tbl_Ledger[Tax Charged on Invoice],ROWS($B$27:$B255))</f>
        <v>12877.4</v>
      </c>
      <c r="H255" s="159" cm="1">
        <f t="array" ref="H255">INDEX(tbl_Ledger[Expected Total Tax],ROWS($B$27:$B255))</f>
        <v>12877.399999999998</v>
      </c>
      <c r="I255" s="159" t="str" cm="1">
        <f t="array" ref="I255">INDEX(tbl_Ledger[Description],ROWS($B$27:$B255))</f>
        <v>Bulk haulage of PMS, Tema-Bolgatanga, 3 trips</v>
      </c>
      <c r="J255" s="159" t="str" cm="1">
        <f t="array" ref="J255">INDEX(tbl_Ledger[Counterparty],ROWS($B$27:$B255))</f>
        <v>Adinkra Oil Marketing Ltd</v>
      </c>
      <c r="K255" s="160" t="str">
        <f>IF(COUNTIF(Dup_Exclusions,$E255)&gt;0,"No","Yes")</f>
        <v>Yes</v>
      </c>
      <c r="L255" s="161" t="str">
        <f>IF(AND($D255="",COUNTIF(NoInv_Exempt,$E255)=0),"Yes","No")</f>
        <v>No</v>
      </c>
      <c r="M255" s="161" t="str" cm="1">
        <f t="array" ref="M255">IF(AND($D255&lt;&gt;"",$K255="Yes"),IF(SUMPRODUCT((tbl_Ledger[Invoice Number]=$D255)*(COUNTIF(Dup_Exclusions,tbl_Ledger[Tax Category])=0))&gt;1,"Yes","No"),"No")</f>
        <v>No</v>
      </c>
      <c r="N255" s="161" t="str">
        <f>IF(ABS($G255-$H255)&gt;Tax_Tolerance,"Yes","No")</f>
        <v>No</v>
      </c>
      <c r="O255" s="161" t="str">
        <f>IF(OR(AND($F255="Inflow",LEFT($E255,LEN(Prefix_Outflow))=Prefix_Outflow),AND($F255="Outflow",LEFT($E255,LEN(Prefix_Inflow))=Prefix_Inflow)),"Yes","No")</f>
        <v>No</v>
      </c>
      <c r="P255" s="161" t="str" cm="1">
        <f t="array" ref="P255">IF(AND(COUNTIF(Suspect_Categories,$E255)&gt;0,SUMPRODUCT(--ISNUMBER(SEARCH(Suspect_Keywords,$I255&amp;" "&amp;$J255)))&gt;0),"Yes","No")</f>
        <v>No</v>
      </c>
      <c r="Q255" s="161" t="str">
        <f t="shared" si="1"/>
        <v>No</v>
      </c>
    </row>
    <row r="256" spans="1:17" x14ac:dyDescent="0.3">
      <c r="A256" s="11"/>
      <c r="B256" s="157" cm="1">
        <f t="array" ref="B256">INDEX(tbl_Ledger[Row ID],ROWS($B$27:$B256))</f>
        <v>230</v>
      </c>
      <c r="C256" s="158" cm="1">
        <f t="array" ref="C256">INDEX(tbl_Ledger[Date],ROWS($B$27:$B256))</f>
        <v>46207</v>
      </c>
      <c r="D256" s="157" t="str" cm="1">
        <f t="array" ref="D256">IF(INDEX(tbl_Ledger[Invoice Number],ROWS($B$27:$B256))="","",INDEX(tbl_Ledger[Invoice Number],ROWS($B$27:$B256)))</f>
        <v>SIN-2026-0095</v>
      </c>
      <c r="E256" s="157" t="str" cm="1">
        <f t="array" ref="E256">INDEX(tbl_Ledger[Tax Category],ROWS($B$27:$B256))</f>
        <v>IN_EXEMPT</v>
      </c>
      <c r="F256" s="157" t="str" cm="1">
        <f t="array" ref="F256">INDEX(tbl_Ledger[Direction],ROWS($B$27:$B256))</f>
        <v>Outflow</v>
      </c>
      <c r="G256" s="159" cm="1">
        <f t="array" ref="G256">INDEX(tbl_Ledger[Tax Charged on Invoice],ROWS($B$27:$B256))</f>
        <v>0</v>
      </c>
      <c r="H256" s="159" cm="1">
        <f t="array" ref="H256">INDEX(tbl_Ledger[Expected Total Tax],ROWS($B$27:$B256))</f>
        <v>0</v>
      </c>
      <c r="I256" s="159" t="str" cm="1">
        <f t="array" ref="I256">INDEX(tbl_Ledger[Description],ROWS($B$27:$B256))</f>
        <v>Third-party liability cover premium</v>
      </c>
      <c r="J256" s="159" t="str" cm="1">
        <f t="array" ref="J256">INDEX(tbl_Ledger[Counterparty],ROWS($B$27:$B256))</f>
        <v>Pillar Insurance Ghana Ltd</v>
      </c>
      <c r="K256" s="160" t="str">
        <f>IF(COUNTIF(Dup_Exclusions,$E256)&gt;0,"No","Yes")</f>
        <v>Yes</v>
      </c>
      <c r="L256" s="161" t="str">
        <f>IF(AND($D256="",COUNTIF(NoInv_Exempt,$E256)=0),"Yes","No")</f>
        <v>No</v>
      </c>
      <c r="M256" s="161" t="str" cm="1">
        <f t="array" ref="M256">IF(AND($D256&lt;&gt;"",$K256="Yes"),IF(SUMPRODUCT((tbl_Ledger[Invoice Number]=$D256)*(COUNTIF(Dup_Exclusions,tbl_Ledger[Tax Category])=0))&gt;1,"Yes","No"),"No")</f>
        <v>No</v>
      </c>
      <c r="N256" s="161" t="str">
        <f>IF(ABS($G256-$H256)&gt;Tax_Tolerance,"Yes","No")</f>
        <v>No</v>
      </c>
      <c r="O256" s="161" t="str">
        <f>IF(OR(AND($F256="Inflow",LEFT($E256,LEN(Prefix_Outflow))=Prefix_Outflow),AND($F256="Outflow",LEFT($E256,LEN(Prefix_Inflow))=Prefix_Inflow)),"Yes","No")</f>
        <v>No</v>
      </c>
      <c r="P256" s="161" t="str" cm="1">
        <f t="array" ref="P256">IF(AND(COUNTIF(Suspect_Categories,$E256)&gt;0,SUMPRODUCT(--ISNUMBER(SEARCH(Suspect_Keywords,$I256&amp;" "&amp;$J256)))&gt;0),"Yes","No")</f>
        <v>No</v>
      </c>
      <c r="Q256" s="161" t="str">
        <f t="shared" si="1"/>
        <v>No</v>
      </c>
    </row>
    <row r="257" spans="1:17" x14ac:dyDescent="0.3">
      <c r="A257" s="11"/>
      <c r="B257" s="157" cm="1">
        <f t="array" ref="B257">INDEX(tbl_Ledger[Row ID],ROWS($B$27:$B257))</f>
        <v>231</v>
      </c>
      <c r="C257" s="158" cm="1">
        <f t="array" ref="C257">INDEX(tbl_Ledger[Date],ROWS($B$27:$B257))</f>
        <v>46207</v>
      </c>
      <c r="D257" s="157" t="str" cm="1">
        <f t="array" ref="D257">IF(INDEX(tbl_Ledger[Invoice Number],ROWS($B$27:$B257))="","",INDEX(tbl_Ledger[Invoice Number],ROWS($B$27:$B257)))</f>
        <v>NHL-2026-0086</v>
      </c>
      <c r="E257" s="157" t="str" cm="1">
        <f t="array" ref="E257">INDEX(tbl_Ledger[Tax Category],ROWS($B$27:$B257))</f>
        <v>OUT_STD</v>
      </c>
      <c r="F257" s="157" t="str" cm="1">
        <f t="array" ref="F257">INDEX(tbl_Ledger[Direction],ROWS($B$27:$B257))</f>
        <v>Inflow</v>
      </c>
      <c r="G257" s="159" cm="1">
        <f t="array" ref="G257">INDEX(tbl_Ledger[Tax Charged on Invoice],ROWS($B$27:$B257))</f>
        <v>13577.6</v>
      </c>
      <c r="H257" s="159" cm="1">
        <f t="array" ref="H257">INDEX(tbl_Ledger[Expected Total Tax],ROWS($B$27:$B257))</f>
        <v>13577.6</v>
      </c>
      <c r="I257" s="159" t="str" cm="1">
        <f t="array" ref="I257">INDEX(tbl_Ledger[Description],ROWS($B$27:$B257))</f>
        <v>Bulk haulage of LPG, Takoradi-Tamale, 3 trips</v>
      </c>
      <c r="J257" s="159" t="str" cm="1">
        <f t="array" ref="J257">INDEX(tbl_Ledger[Counterparty],ROWS($B$27:$B257))</f>
        <v>Golden Harmattan Energy Ltd</v>
      </c>
      <c r="K257" s="160" t="str">
        <f>IF(COUNTIF(Dup_Exclusions,$E257)&gt;0,"No","Yes")</f>
        <v>Yes</v>
      </c>
      <c r="L257" s="161" t="str">
        <f>IF(AND($D257="",COUNTIF(NoInv_Exempt,$E257)=0),"Yes","No")</f>
        <v>No</v>
      </c>
      <c r="M257" s="161" t="str" cm="1">
        <f t="array" ref="M257">IF(AND($D257&lt;&gt;"",$K257="Yes"),IF(SUMPRODUCT((tbl_Ledger[Invoice Number]=$D257)*(COUNTIF(Dup_Exclusions,tbl_Ledger[Tax Category])=0))&gt;1,"Yes","No"),"No")</f>
        <v>No</v>
      </c>
      <c r="N257" s="161" t="str">
        <f>IF(ABS($G257-$H257)&gt;Tax_Tolerance,"Yes","No")</f>
        <v>No</v>
      </c>
      <c r="O257" s="161" t="str">
        <f>IF(OR(AND($F257="Inflow",LEFT($E257,LEN(Prefix_Outflow))=Prefix_Outflow),AND($F257="Outflow",LEFT($E257,LEN(Prefix_Inflow))=Prefix_Inflow)),"Yes","No")</f>
        <v>No</v>
      </c>
      <c r="P257" s="161" t="str" cm="1">
        <f t="array" ref="P257">IF(AND(COUNTIF(Suspect_Categories,$E257)&gt;0,SUMPRODUCT(--ISNUMBER(SEARCH(Suspect_Keywords,$I257&amp;" "&amp;$J257)))&gt;0),"Yes","No")</f>
        <v>No</v>
      </c>
      <c r="Q257" s="161" t="str">
        <f t="shared" si="1"/>
        <v>No</v>
      </c>
    </row>
    <row r="258" spans="1:17" x14ac:dyDescent="0.3">
      <c r="A258" s="11"/>
      <c r="B258" s="157" cm="1">
        <f t="array" ref="B258">INDEX(tbl_Ledger[Row ID],ROWS($B$27:$B258))</f>
        <v>232</v>
      </c>
      <c r="C258" s="158" cm="1">
        <f t="array" ref="C258">INDEX(tbl_Ledger[Date],ROWS($B$27:$B258))</f>
        <v>46208</v>
      </c>
      <c r="D258" s="157" t="str" cm="1">
        <f t="array" ref="D258">IF(INDEX(tbl_Ledger[Invoice Number],ROWS($B$27:$B258))="","",INDEX(tbl_Ledger[Invoice Number],ROWS($B$27:$B258)))</f>
        <v>SIN-2026-0096</v>
      </c>
      <c r="E258" s="157" t="str" cm="1">
        <f t="array" ref="E258">INDEX(tbl_Ledger[Tax Category],ROWS($B$27:$B258))</f>
        <v>IN_STD</v>
      </c>
      <c r="F258" s="157" t="str" cm="1">
        <f t="array" ref="F258">INDEX(tbl_Ledger[Direction],ROWS($B$27:$B258))</f>
        <v>Outflow</v>
      </c>
      <c r="G258" s="159" cm="1">
        <f t="array" ref="G258">INDEX(tbl_Ledger[Tax Charged on Invoice],ROWS($B$27:$B258))</f>
        <v>773.2</v>
      </c>
      <c r="H258" s="159" cm="1">
        <f t="array" ref="H258">INDEX(tbl_Ledger[Expected Total Tax],ROWS($B$27:$B258))</f>
        <v>773.19999999999993</v>
      </c>
      <c r="I258" s="159" t="str" cm="1">
        <f t="array" ref="I258">INDEX(tbl_Ledger[Description],ROWS($B$27:$B258))</f>
        <v>Mobile and data services</v>
      </c>
      <c r="J258" s="159" t="str" cm="1">
        <f t="array" ref="J258">INDEX(tbl_Ledger[Counterparty],ROWS($B$27:$B258))</f>
        <v>Adom Telecom Ghana Ltd</v>
      </c>
      <c r="K258" s="160" t="str">
        <f>IF(COUNTIF(Dup_Exclusions,$E258)&gt;0,"No","Yes")</f>
        <v>Yes</v>
      </c>
      <c r="L258" s="161" t="str">
        <f>IF(AND($D258="",COUNTIF(NoInv_Exempt,$E258)=0),"Yes","No")</f>
        <v>No</v>
      </c>
      <c r="M258" s="161" t="str" cm="1">
        <f t="array" ref="M258">IF(AND($D258&lt;&gt;"",$K258="Yes"),IF(SUMPRODUCT((tbl_Ledger[Invoice Number]=$D258)*(COUNTIF(Dup_Exclusions,tbl_Ledger[Tax Category])=0))&gt;1,"Yes","No"),"No")</f>
        <v>No</v>
      </c>
      <c r="N258" s="161" t="str">
        <f>IF(ABS($G258-$H258)&gt;Tax_Tolerance,"Yes","No")</f>
        <v>No</v>
      </c>
      <c r="O258" s="161" t="str">
        <f>IF(OR(AND($F258="Inflow",LEFT($E258,LEN(Prefix_Outflow))=Prefix_Outflow),AND($F258="Outflow",LEFT($E258,LEN(Prefix_Inflow))=Prefix_Inflow)),"Yes","No")</f>
        <v>No</v>
      </c>
      <c r="P258" s="161" t="str" cm="1">
        <f t="array" ref="P258">IF(AND(COUNTIF(Suspect_Categories,$E258)&gt;0,SUMPRODUCT(--ISNUMBER(SEARCH(Suspect_Keywords,$I258&amp;" "&amp;$J258)))&gt;0),"Yes","No")</f>
        <v>No</v>
      </c>
      <c r="Q258" s="161" t="str">
        <f t="shared" si="1"/>
        <v>No</v>
      </c>
    </row>
    <row r="259" spans="1:17" x14ac:dyDescent="0.3">
      <c r="A259" s="11"/>
      <c r="B259" s="157" cm="1">
        <f t="array" ref="B259">INDEX(tbl_Ledger[Row ID],ROWS($B$27:$B259))</f>
        <v>233</v>
      </c>
      <c r="C259" s="158" cm="1">
        <f t="array" ref="C259">INDEX(tbl_Ledger[Date],ROWS($B$27:$B259))</f>
        <v>46209</v>
      </c>
      <c r="D259" s="157" t="str" cm="1">
        <f t="array" ref="D259">IF(INDEX(tbl_Ledger[Invoice Number],ROWS($B$27:$B259))="","",INDEX(tbl_Ledger[Invoice Number],ROWS($B$27:$B259)))</f>
        <v>BNK-2026-0018</v>
      </c>
      <c r="E259" s="157" t="str" cm="1">
        <f t="array" ref="E259">INDEX(tbl_Ledger[Tax Category],ROWS($B$27:$B259))</f>
        <v>IN_EXEMPT</v>
      </c>
      <c r="F259" s="157" t="str" cm="1">
        <f t="array" ref="F259">INDEX(tbl_Ledger[Direction],ROWS($B$27:$B259))</f>
        <v>Outflow</v>
      </c>
      <c r="G259" s="159" cm="1">
        <f t="array" ref="G259">INDEX(tbl_Ledger[Tax Charged on Invoice],ROWS($B$27:$B259))</f>
        <v>0</v>
      </c>
      <c r="H259" s="159" cm="1">
        <f t="array" ref="H259">INDEX(tbl_Ledger[Expected Total Tax],ROWS($B$27:$B259))</f>
        <v>0</v>
      </c>
      <c r="I259" s="159" t="str" cm="1">
        <f t="array" ref="I259">INDEX(tbl_Ledger[Description],ROWS($B$27:$B259))</f>
        <v>Bank charges and account maintenance</v>
      </c>
      <c r="J259" s="159" t="str" cm="1">
        <f t="array" ref="J259">INDEX(tbl_Ledger[Counterparty],ROWS($B$27:$B259))</f>
        <v>Trust Union Bank Ltd</v>
      </c>
      <c r="K259" s="160" t="str">
        <f>IF(COUNTIF(Dup_Exclusions,$E259)&gt;0,"No","Yes")</f>
        <v>Yes</v>
      </c>
      <c r="L259" s="161" t="str">
        <f>IF(AND($D259="",COUNTIF(NoInv_Exempt,$E259)=0),"Yes","No")</f>
        <v>No</v>
      </c>
      <c r="M259" s="161" t="str" cm="1">
        <f t="array" ref="M259">IF(AND($D259&lt;&gt;"",$K259="Yes"),IF(SUMPRODUCT((tbl_Ledger[Invoice Number]=$D259)*(COUNTIF(Dup_Exclusions,tbl_Ledger[Tax Category])=0))&gt;1,"Yes","No"),"No")</f>
        <v>No</v>
      </c>
      <c r="N259" s="161" t="str">
        <f>IF(ABS($G259-$H259)&gt;Tax_Tolerance,"Yes","No")</f>
        <v>No</v>
      </c>
      <c r="O259" s="161" t="str">
        <f>IF(OR(AND($F259="Inflow",LEFT($E259,LEN(Prefix_Outflow))=Prefix_Outflow),AND($F259="Outflow",LEFT($E259,LEN(Prefix_Inflow))=Prefix_Inflow)),"Yes","No")</f>
        <v>No</v>
      </c>
      <c r="P259" s="161" t="str" cm="1">
        <f t="array" ref="P259">IF(AND(COUNTIF(Suspect_Categories,$E259)&gt;0,SUMPRODUCT(--ISNUMBER(SEARCH(Suspect_Keywords,$I259&amp;" "&amp;$J259)))&gt;0),"Yes","No")</f>
        <v>No</v>
      </c>
      <c r="Q259" s="161" t="str">
        <f t="shared" si="1"/>
        <v>No</v>
      </c>
    </row>
    <row r="260" spans="1:17" x14ac:dyDescent="0.3">
      <c r="A260" s="11"/>
      <c r="B260" s="157" cm="1">
        <f t="array" ref="B260">INDEX(tbl_Ledger[Row ID],ROWS($B$27:$B260))</f>
        <v>234</v>
      </c>
      <c r="C260" s="158" cm="1">
        <f t="array" ref="C260">INDEX(tbl_Ledger[Date],ROWS($B$27:$B260))</f>
        <v>46209</v>
      </c>
      <c r="D260" s="157" t="str" cm="1">
        <f t="array" ref="D260">IF(INDEX(tbl_Ledger[Invoice Number],ROWS($B$27:$B260))="","",INDEX(tbl_Ledger[Invoice Number],ROWS($B$27:$B260)))</f>
        <v>NHL-2026-0087</v>
      </c>
      <c r="E260" s="157" t="str" cm="1">
        <f t="array" ref="E260">INDEX(tbl_Ledger[Tax Category],ROWS($B$27:$B260))</f>
        <v>OUT_STD</v>
      </c>
      <c r="F260" s="157" t="str" cm="1">
        <f t="array" ref="F260">INDEX(tbl_Ledger[Direction],ROWS($B$27:$B260))</f>
        <v>Inflow</v>
      </c>
      <c r="G260" s="159" cm="1">
        <f t="array" ref="G260">INDEX(tbl_Ledger[Tax Charged on Invoice],ROWS($B$27:$B260))</f>
        <v>14420.6</v>
      </c>
      <c r="H260" s="159" cm="1">
        <f t="array" ref="H260">INDEX(tbl_Ledger[Expected Total Tax],ROWS($B$27:$B260))</f>
        <v>14420.6</v>
      </c>
      <c r="I260" s="159" t="str" cm="1">
        <f t="array" ref="I260">INDEX(tbl_Ledger[Description],ROWS($B$27:$B260))</f>
        <v>Bulk haulage of LPG, Takoradi-Wa, 3 trips</v>
      </c>
      <c r="J260" s="159" t="str" cm="1">
        <f t="array" ref="J260">INDEX(tbl_Ledger[Counterparty],ROWS($B$27:$B260))</f>
        <v>Keta Coastal Oils Ltd</v>
      </c>
      <c r="K260" s="160" t="str">
        <f>IF(COUNTIF(Dup_Exclusions,$E260)&gt;0,"No","Yes")</f>
        <v>Yes</v>
      </c>
      <c r="L260" s="161" t="str">
        <f>IF(AND($D260="",COUNTIF(NoInv_Exempt,$E260)=0),"Yes","No")</f>
        <v>No</v>
      </c>
      <c r="M260" s="161" t="str" cm="1">
        <f t="array" ref="M260">IF(AND($D260&lt;&gt;"",$K260="Yes"),IF(SUMPRODUCT((tbl_Ledger[Invoice Number]=$D260)*(COUNTIF(Dup_Exclusions,tbl_Ledger[Tax Category])=0))&gt;1,"Yes","No"),"No")</f>
        <v>No</v>
      </c>
      <c r="N260" s="161" t="str">
        <f>IF(ABS($G260-$H260)&gt;Tax_Tolerance,"Yes","No")</f>
        <v>No</v>
      </c>
      <c r="O260" s="161" t="str">
        <f>IF(OR(AND($F260="Inflow",LEFT($E260,LEN(Prefix_Outflow))=Prefix_Outflow),AND($F260="Outflow",LEFT($E260,LEN(Prefix_Inflow))=Prefix_Inflow)),"Yes","No")</f>
        <v>No</v>
      </c>
      <c r="P260" s="161" t="str" cm="1">
        <f t="array" ref="P260">IF(AND(COUNTIF(Suspect_Categories,$E260)&gt;0,SUMPRODUCT(--ISNUMBER(SEARCH(Suspect_Keywords,$I260&amp;" "&amp;$J260)))&gt;0),"Yes","No")</f>
        <v>No</v>
      </c>
      <c r="Q260" s="161" t="str">
        <f t="shared" si="1"/>
        <v>No</v>
      </c>
    </row>
    <row r="261" spans="1:17" x14ac:dyDescent="0.3">
      <c r="A261" s="11"/>
      <c r="B261" s="157" cm="1">
        <f t="array" ref="B261">INDEX(tbl_Ledger[Row ID],ROWS($B$27:$B261))</f>
        <v>235</v>
      </c>
      <c r="C261" s="158" cm="1">
        <f t="array" ref="C261">INDEX(tbl_Ledger[Date],ROWS($B$27:$B261))</f>
        <v>46211</v>
      </c>
      <c r="D261" s="157" t="str" cm="1">
        <f t="array" ref="D261">IF(INDEX(tbl_Ledger[Invoice Number],ROWS($B$27:$B261))="","",INDEX(tbl_Ledger[Invoice Number],ROWS($B$27:$B261)))</f>
        <v>SIN-2026-0097</v>
      </c>
      <c r="E261" s="157" t="str" cm="1">
        <f t="array" ref="E261">INDEX(tbl_Ledger[Tax Category],ROWS($B$27:$B261))</f>
        <v>IN_STD</v>
      </c>
      <c r="F261" s="157" t="str" cm="1">
        <f t="array" ref="F261">INDEX(tbl_Ledger[Direction],ROWS($B$27:$B261))</f>
        <v>Outflow</v>
      </c>
      <c r="G261" s="159" cm="1">
        <f t="array" ref="G261">INDEX(tbl_Ledger[Tax Charged on Invoice],ROWS($B$27:$B261))</f>
        <v>446.4</v>
      </c>
      <c r="H261" s="159" cm="1">
        <f t="array" ref="H261">INDEX(tbl_Ledger[Expected Total Tax],ROWS($B$27:$B261))</f>
        <v>446.40000000000003</v>
      </c>
      <c r="I261" s="159" t="str" cm="1">
        <f t="array" ref="I261">INDEX(tbl_Ledger[Description],ROWS($B$27:$B261))</f>
        <v>Office stationery and printing</v>
      </c>
      <c r="J261" s="159" t="str" cm="1">
        <f t="array" ref="J261">INDEX(tbl_Ledger[Counterparty],ROWS($B$27:$B261))</f>
        <v>Castle Security Services Ltd</v>
      </c>
      <c r="K261" s="160" t="str">
        <f>IF(COUNTIF(Dup_Exclusions,$E261)&gt;0,"No","Yes")</f>
        <v>Yes</v>
      </c>
      <c r="L261" s="161" t="str">
        <f>IF(AND($D261="",COUNTIF(NoInv_Exempt,$E261)=0),"Yes","No")</f>
        <v>No</v>
      </c>
      <c r="M261" s="161" t="str" cm="1">
        <f t="array" ref="M261">IF(AND($D261&lt;&gt;"",$K261="Yes"),IF(SUMPRODUCT((tbl_Ledger[Invoice Number]=$D261)*(COUNTIF(Dup_Exclusions,tbl_Ledger[Tax Category])=0))&gt;1,"Yes","No"),"No")</f>
        <v>No</v>
      </c>
      <c r="N261" s="161" t="str">
        <f>IF(ABS($G261-$H261)&gt;Tax_Tolerance,"Yes","No")</f>
        <v>No</v>
      </c>
      <c r="O261" s="161" t="str">
        <f>IF(OR(AND($F261="Inflow",LEFT($E261,LEN(Prefix_Outflow))=Prefix_Outflow),AND($F261="Outflow",LEFT($E261,LEN(Prefix_Inflow))=Prefix_Inflow)),"Yes","No")</f>
        <v>No</v>
      </c>
      <c r="P261" s="161" t="str" cm="1">
        <f t="array" ref="P261">IF(AND(COUNTIF(Suspect_Categories,$E261)&gt;0,SUMPRODUCT(--ISNUMBER(SEARCH(Suspect_Keywords,$I261&amp;" "&amp;$J261)))&gt;0),"Yes","No")</f>
        <v>No</v>
      </c>
      <c r="Q261" s="161" t="str">
        <f t="shared" si="1"/>
        <v>No</v>
      </c>
    </row>
    <row r="262" spans="1:17" x14ac:dyDescent="0.3">
      <c r="A262" s="11"/>
      <c r="B262" s="157" cm="1">
        <f t="array" ref="B262">INDEX(tbl_Ledger[Row ID],ROWS($B$27:$B262))</f>
        <v>236</v>
      </c>
      <c r="C262" s="158" cm="1">
        <f t="array" ref="C262">INDEX(tbl_Ledger[Date],ROWS($B$27:$B262))</f>
        <v>46211</v>
      </c>
      <c r="D262" s="157" t="str" cm="1">
        <f t="array" ref="D262">IF(INDEX(tbl_Ledger[Invoice Number],ROWS($B$27:$B262))="","",INDEX(tbl_Ledger[Invoice Number],ROWS($B$27:$B262)))</f>
        <v>NHL-2026-0088</v>
      </c>
      <c r="E262" s="157" t="str" cm="1">
        <f t="array" ref="E262">INDEX(tbl_Ledger[Tax Category],ROWS($B$27:$B262))</f>
        <v>OUT_STD</v>
      </c>
      <c r="F262" s="157" t="str" cm="1">
        <f t="array" ref="F262">INDEX(tbl_Ledger[Direction],ROWS($B$27:$B262))</f>
        <v>Inflow</v>
      </c>
      <c r="G262" s="159" cm="1">
        <f t="array" ref="G262">INDEX(tbl_Ledger[Tax Charged on Invoice],ROWS($B$27:$B262))</f>
        <v>11453.2</v>
      </c>
      <c r="H262" s="159" cm="1">
        <f t="array" ref="H262">INDEX(tbl_Ledger[Expected Total Tax],ROWS($B$27:$B262))</f>
        <v>11453.199999999999</v>
      </c>
      <c r="I262" s="159" t="str" cm="1">
        <f t="array" ref="I262">INDEX(tbl_Ledger[Description],ROWS($B$27:$B262))</f>
        <v>Bulk haulage of LPG, Takoradi-Wa, 5 trips</v>
      </c>
      <c r="J262" s="159" t="str" cm="1">
        <f t="array" ref="J262">INDEX(tbl_Ledger[Counterparty],ROWS($B$27:$B262))</f>
        <v>Golden Harmattan Energy Ltd</v>
      </c>
      <c r="K262" s="160" t="str">
        <f>IF(COUNTIF(Dup_Exclusions,$E262)&gt;0,"No","Yes")</f>
        <v>Yes</v>
      </c>
      <c r="L262" s="161" t="str">
        <f>IF(AND($D262="",COUNTIF(NoInv_Exempt,$E262)=0),"Yes","No")</f>
        <v>No</v>
      </c>
      <c r="M262" s="161" t="str" cm="1">
        <f t="array" ref="M262">IF(AND($D262&lt;&gt;"",$K262="Yes"),IF(SUMPRODUCT((tbl_Ledger[Invoice Number]=$D262)*(COUNTIF(Dup_Exclusions,tbl_Ledger[Tax Category])=0))&gt;1,"Yes","No"),"No")</f>
        <v>No</v>
      </c>
      <c r="N262" s="161" t="str">
        <f>IF(ABS($G262-$H262)&gt;Tax_Tolerance,"Yes","No")</f>
        <v>No</v>
      </c>
      <c r="O262" s="161" t="str">
        <f>IF(OR(AND($F262="Inflow",LEFT($E262,LEN(Prefix_Outflow))=Prefix_Outflow),AND($F262="Outflow",LEFT($E262,LEN(Prefix_Inflow))=Prefix_Inflow)),"Yes","No")</f>
        <v>No</v>
      </c>
      <c r="P262" s="161" t="str" cm="1">
        <f t="array" ref="P262">IF(AND(COUNTIF(Suspect_Categories,$E262)&gt;0,SUMPRODUCT(--ISNUMBER(SEARCH(Suspect_Keywords,$I262&amp;" "&amp;$J262)))&gt;0),"Yes","No")</f>
        <v>No</v>
      </c>
      <c r="Q262" s="161" t="str">
        <f t="shared" si="1"/>
        <v>No</v>
      </c>
    </row>
    <row r="263" spans="1:17" x14ac:dyDescent="0.3">
      <c r="A263" s="11"/>
      <c r="B263" s="157" cm="1">
        <f t="array" ref="B263">INDEX(tbl_Ledger[Row ID],ROWS($B$27:$B263))</f>
        <v>237</v>
      </c>
      <c r="C263" s="158" cm="1">
        <f t="array" ref="C263">INDEX(tbl_Ledger[Date],ROWS($B$27:$B263))</f>
        <v>46212</v>
      </c>
      <c r="D263" s="157" t="str" cm="1">
        <f t="array" ref="D263">IF(INDEX(tbl_Ledger[Invoice Number],ROWS($B$27:$B263))="","",INDEX(tbl_Ledger[Invoice Number],ROWS($B$27:$B263)))</f>
        <v>SIN-2026-0098</v>
      </c>
      <c r="E263" s="157" t="str" cm="1">
        <f t="array" ref="E263">INDEX(tbl_Ledger[Tax Category],ROWS($B$27:$B263))</f>
        <v>IN_NONDED</v>
      </c>
      <c r="F263" s="157" t="str" cm="1">
        <f t="array" ref="F263">INDEX(tbl_Ledger[Direction],ROWS($B$27:$B263))</f>
        <v>Outflow</v>
      </c>
      <c r="G263" s="159" cm="1">
        <f t="array" ref="G263">INDEX(tbl_Ledger[Tax Charged on Invoice],ROWS($B$27:$B263))</f>
        <v>1406.2</v>
      </c>
      <c r="H263" s="159" cm="1">
        <f t="array" ref="H263">INDEX(tbl_Ledger[Expected Total Tax],ROWS($B$27:$B263))</f>
        <v>1406.2</v>
      </c>
      <c r="I263" s="159" t="str" cm="1">
        <f t="array" ref="I263">INDEX(tbl_Ledger[Description],ROWS($B$27:$B263))</f>
        <v>Passenger vehicle running costs - management car</v>
      </c>
      <c r="J263" s="159" t="str" cm="1">
        <f t="array" ref="J263">INDEX(tbl_Ledger[Counterparty],ROWS($B$27:$B263))</f>
        <v>Labadi Grill House Ltd</v>
      </c>
      <c r="K263" s="160" t="str">
        <f>IF(COUNTIF(Dup_Exclusions,$E263)&gt;0,"No","Yes")</f>
        <v>Yes</v>
      </c>
      <c r="L263" s="161" t="str">
        <f>IF(AND($D263="",COUNTIF(NoInv_Exempt,$E263)=0),"Yes","No")</f>
        <v>No</v>
      </c>
      <c r="M263" s="161" t="str" cm="1">
        <f t="array" ref="M263">IF(AND($D263&lt;&gt;"",$K263="Yes"),IF(SUMPRODUCT((tbl_Ledger[Invoice Number]=$D263)*(COUNTIF(Dup_Exclusions,tbl_Ledger[Tax Category])=0))&gt;1,"Yes","No"),"No")</f>
        <v>No</v>
      </c>
      <c r="N263" s="161" t="str">
        <f>IF(ABS($G263-$H263)&gt;Tax_Tolerance,"Yes","No")</f>
        <v>No</v>
      </c>
      <c r="O263" s="161" t="str">
        <f>IF(OR(AND($F263="Inflow",LEFT($E263,LEN(Prefix_Outflow))=Prefix_Outflow),AND($F263="Outflow",LEFT($E263,LEN(Prefix_Inflow))=Prefix_Inflow)),"Yes","No")</f>
        <v>No</v>
      </c>
      <c r="P263" s="161" t="str" cm="1">
        <f t="array" ref="P263">IF(AND(COUNTIF(Suspect_Categories,$E263)&gt;0,SUMPRODUCT(--ISNUMBER(SEARCH(Suspect_Keywords,$I263&amp;" "&amp;$J263)))&gt;0),"Yes","No")</f>
        <v>No</v>
      </c>
      <c r="Q263" s="161" t="str">
        <f t="shared" si="1"/>
        <v>No</v>
      </c>
    </row>
    <row r="264" spans="1:17" x14ac:dyDescent="0.3">
      <c r="A264" s="11"/>
      <c r="B264" s="157" cm="1">
        <f t="array" ref="B264">INDEX(tbl_Ledger[Row ID],ROWS($B$27:$B264))</f>
        <v>238</v>
      </c>
      <c r="C264" s="158" cm="1">
        <f t="array" ref="C264">INDEX(tbl_Ledger[Date],ROWS($B$27:$B264))</f>
        <v>46213</v>
      </c>
      <c r="D264" s="157" t="str" cm="1">
        <f t="array" ref="D264">IF(INDEX(tbl_Ledger[Invoice Number],ROWS($B$27:$B264))="","",INDEX(tbl_Ledger[Invoice Number],ROWS($B$27:$B264)))</f>
        <v>SIN-2026-0099</v>
      </c>
      <c r="E264" s="157" t="str" cm="1">
        <f t="array" ref="E264">INDEX(tbl_Ledger[Tax Category],ROWS($B$27:$B264))</f>
        <v>IN_EXEMPT</v>
      </c>
      <c r="F264" s="157" t="str" cm="1">
        <f t="array" ref="F264">INDEX(tbl_Ledger[Direction],ROWS($B$27:$B264))</f>
        <v>Outflow</v>
      </c>
      <c r="G264" s="159" cm="1">
        <f t="array" ref="G264">INDEX(tbl_Ledger[Tax Charged on Invoice],ROWS($B$27:$B264))</f>
        <v>0</v>
      </c>
      <c r="H264" s="159" cm="1">
        <f t="array" ref="H264">INDEX(tbl_Ledger[Expected Total Tax],ROWS($B$27:$B264))</f>
        <v>0</v>
      </c>
      <c r="I264" s="159" t="str" cm="1">
        <f t="array" ref="I264">INDEX(tbl_Ledger[Description],ROWS($B$27:$B264))</f>
        <v>Goods-in-transit insurance premium</v>
      </c>
      <c r="J264" s="159" t="str" cm="1">
        <f t="array" ref="J264">INDEX(tbl_Ledger[Counterparty],ROWS($B$27:$B264))</f>
        <v>Unity Assurance Ltd</v>
      </c>
      <c r="K264" s="160" t="str">
        <f>IF(COUNTIF(Dup_Exclusions,$E264)&gt;0,"No","Yes")</f>
        <v>Yes</v>
      </c>
      <c r="L264" s="161" t="str">
        <f>IF(AND($D264="",COUNTIF(NoInv_Exempt,$E264)=0),"Yes","No")</f>
        <v>No</v>
      </c>
      <c r="M264" s="161" t="str" cm="1">
        <f t="array" ref="M264">IF(AND($D264&lt;&gt;"",$K264="Yes"),IF(SUMPRODUCT((tbl_Ledger[Invoice Number]=$D264)*(COUNTIF(Dup_Exclusions,tbl_Ledger[Tax Category])=0))&gt;1,"Yes","No"),"No")</f>
        <v>No</v>
      </c>
      <c r="N264" s="161" t="str">
        <f>IF(ABS($G264-$H264)&gt;Tax_Tolerance,"Yes","No")</f>
        <v>No</v>
      </c>
      <c r="O264" s="161" t="str">
        <f>IF(OR(AND($F264="Inflow",LEFT($E264,LEN(Prefix_Outflow))=Prefix_Outflow),AND($F264="Outflow",LEFT($E264,LEN(Prefix_Inflow))=Prefix_Inflow)),"Yes","No")</f>
        <v>No</v>
      </c>
      <c r="P264" s="161" t="str" cm="1">
        <f t="array" ref="P264">IF(AND(COUNTIF(Suspect_Categories,$E264)&gt;0,SUMPRODUCT(--ISNUMBER(SEARCH(Suspect_Keywords,$I264&amp;" "&amp;$J264)))&gt;0),"Yes","No")</f>
        <v>No</v>
      </c>
      <c r="Q264" s="161" t="str">
        <f t="shared" si="1"/>
        <v>No</v>
      </c>
    </row>
    <row r="265" spans="1:17" x14ac:dyDescent="0.3">
      <c r="A265" s="11"/>
      <c r="B265" s="157" cm="1">
        <f t="array" ref="B265">INDEX(tbl_Ledger[Row ID],ROWS($B$27:$B265))</f>
        <v>239</v>
      </c>
      <c r="C265" s="158" cm="1">
        <f t="array" ref="C265">INDEX(tbl_Ledger[Date],ROWS($B$27:$B265))</f>
        <v>46213</v>
      </c>
      <c r="D265" s="157" t="str" cm="1">
        <f t="array" ref="D265">IF(INDEX(tbl_Ledger[Invoice Number],ROWS($B$27:$B265))="","",INDEX(tbl_Ledger[Invoice Number],ROWS($B$27:$B265)))</f>
        <v>SIN-2026-0100</v>
      </c>
      <c r="E265" s="157" t="str" cm="1">
        <f t="array" ref="E265">INDEX(tbl_Ledger[Tax Category],ROWS($B$27:$B265))</f>
        <v>IN_EXEMPT</v>
      </c>
      <c r="F265" s="157" t="str" cm="1">
        <f t="array" ref="F265">INDEX(tbl_Ledger[Direction],ROWS($B$27:$B265))</f>
        <v>Outflow</v>
      </c>
      <c r="G265" s="159" cm="1">
        <f t="array" ref="G265">INDEX(tbl_Ledger[Tax Charged on Invoice],ROWS($B$27:$B265))</f>
        <v>0</v>
      </c>
      <c r="H265" s="159" cm="1">
        <f t="array" ref="H265">INDEX(tbl_Ledger[Expected Total Tax],ROWS($B$27:$B265))</f>
        <v>0</v>
      </c>
      <c r="I265" s="159" t="str" cm="1">
        <f t="array" ref="I265">INDEX(tbl_Ledger[Description],ROWS($B$27:$B265))</f>
        <v>Diesel (AGO) purchased for own fleet use, 21,498 litres</v>
      </c>
      <c r="J265" s="159" t="str" cm="1">
        <f t="array" ref="J265">INDEX(tbl_Ledger[Counterparty],ROWS($B$27:$B265))</f>
        <v>Zenith Fuel Depot Ltd</v>
      </c>
      <c r="K265" s="160" t="str">
        <f>IF(COUNTIF(Dup_Exclusions,$E265)&gt;0,"No","Yes")</f>
        <v>Yes</v>
      </c>
      <c r="L265" s="161" t="str">
        <f>IF(AND($D265="",COUNTIF(NoInv_Exempt,$E265)=0),"Yes","No")</f>
        <v>No</v>
      </c>
      <c r="M265" s="161" t="str" cm="1">
        <f t="array" ref="M265">IF(AND($D265&lt;&gt;"",$K265="Yes"),IF(SUMPRODUCT((tbl_Ledger[Invoice Number]=$D265)*(COUNTIF(Dup_Exclusions,tbl_Ledger[Tax Category])=0))&gt;1,"Yes","No"),"No")</f>
        <v>No</v>
      </c>
      <c r="N265" s="161" t="str">
        <f>IF(ABS($G265-$H265)&gt;Tax_Tolerance,"Yes","No")</f>
        <v>No</v>
      </c>
      <c r="O265" s="161" t="str">
        <f>IF(OR(AND($F265="Inflow",LEFT($E265,LEN(Prefix_Outflow))=Prefix_Outflow),AND($F265="Outflow",LEFT($E265,LEN(Prefix_Inflow))=Prefix_Inflow)),"Yes","No")</f>
        <v>No</v>
      </c>
      <c r="P265" s="161" t="str" cm="1">
        <f t="array" ref="P265">IF(AND(COUNTIF(Suspect_Categories,$E265)&gt;0,SUMPRODUCT(--ISNUMBER(SEARCH(Suspect_Keywords,$I265&amp;" "&amp;$J265)))&gt;0),"Yes","No")</f>
        <v>No</v>
      </c>
      <c r="Q265" s="161" t="str">
        <f t="shared" si="1"/>
        <v>No</v>
      </c>
    </row>
    <row r="266" spans="1:17" x14ac:dyDescent="0.3">
      <c r="A266" s="11"/>
      <c r="B266" s="157" cm="1">
        <f t="array" ref="B266">INDEX(tbl_Ledger[Row ID],ROWS($B$27:$B266))</f>
        <v>240</v>
      </c>
      <c r="C266" s="158" cm="1">
        <f t="array" ref="C266">INDEX(tbl_Ledger[Date],ROWS($B$27:$B266))</f>
        <v>46213</v>
      </c>
      <c r="D266" s="157" t="str" cm="1">
        <f t="array" ref="D266">IF(INDEX(tbl_Ledger[Invoice Number],ROWS($B$27:$B266))="","",INDEX(tbl_Ledger[Invoice Number],ROWS($B$27:$B266)))</f>
        <v>NHL-2026-0089</v>
      </c>
      <c r="E266" s="157" t="str" cm="1">
        <f t="array" ref="E266">INDEX(tbl_Ledger[Tax Category],ROWS($B$27:$B266))</f>
        <v>OUT_STD</v>
      </c>
      <c r="F266" s="157" t="str" cm="1">
        <f t="array" ref="F266">INDEX(tbl_Ledger[Direction],ROWS($B$27:$B266))</f>
        <v>Inflow</v>
      </c>
      <c r="G266" s="159" cm="1">
        <f t="array" ref="G266">INDEX(tbl_Ledger[Tax Charged on Invoice],ROWS($B$27:$B266))</f>
        <v>10792.8</v>
      </c>
      <c r="H266" s="159" cm="1">
        <f t="array" ref="H266">INDEX(tbl_Ledger[Expected Total Tax],ROWS($B$27:$B266))</f>
        <v>14390.399999999998</v>
      </c>
      <c r="I266" s="159" t="str" cm="1">
        <f t="array" ref="I266">INDEX(tbl_Ledger[Description],ROWS($B$27:$B266))</f>
        <v>Bulk haulage of LPG, Takoradi-Wa, 8 trips</v>
      </c>
      <c r="J266" s="159" t="str" cm="1">
        <f t="array" ref="J266">INDEX(tbl_Ledger[Counterparty],ROWS($B$27:$B266))</f>
        <v>Obuasi Fuel Distributors Ltd</v>
      </c>
      <c r="K266" s="160" t="str">
        <f>IF(COUNTIF(Dup_Exclusions,$E266)&gt;0,"No","Yes")</f>
        <v>Yes</v>
      </c>
      <c r="L266" s="161" t="str">
        <f>IF(AND($D266="",COUNTIF(NoInv_Exempt,$E266)=0),"Yes","No")</f>
        <v>No</v>
      </c>
      <c r="M266" s="161" t="str" cm="1">
        <f t="array" ref="M266">IF(AND($D266&lt;&gt;"",$K266="Yes"),IF(SUMPRODUCT((tbl_Ledger[Invoice Number]=$D266)*(COUNTIF(Dup_Exclusions,tbl_Ledger[Tax Category])=0))&gt;1,"Yes","No"),"No")</f>
        <v>No</v>
      </c>
      <c r="N266" s="161" t="str">
        <f>IF(ABS($G266-$H266)&gt;Tax_Tolerance,"Yes","No")</f>
        <v>Yes</v>
      </c>
      <c r="O266" s="161" t="str">
        <f>IF(OR(AND($F266="Inflow",LEFT($E266,LEN(Prefix_Outflow))=Prefix_Outflow),AND($F266="Outflow",LEFT($E266,LEN(Prefix_Inflow))=Prefix_Inflow)),"Yes","No")</f>
        <v>No</v>
      </c>
      <c r="P266" s="161" t="str" cm="1">
        <f t="array" ref="P266">IF(AND(COUNTIF(Suspect_Categories,$E266)&gt;0,SUMPRODUCT(--ISNUMBER(SEARCH(Suspect_Keywords,$I266&amp;" "&amp;$J266)))&gt;0),"Yes","No")</f>
        <v>No</v>
      </c>
      <c r="Q266" s="161" t="str">
        <f t="shared" si="1"/>
        <v>Yes</v>
      </c>
    </row>
    <row r="267" spans="1:17" x14ac:dyDescent="0.3">
      <c r="A267" s="11"/>
      <c r="B267" s="157" cm="1">
        <f t="array" ref="B267">INDEX(tbl_Ledger[Row ID],ROWS($B$27:$B267))</f>
        <v>241</v>
      </c>
      <c r="C267" s="158" cm="1">
        <f t="array" ref="C267">INDEX(tbl_Ledger[Date],ROWS($B$27:$B267))</f>
        <v>46214</v>
      </c>
      <c r="D267" s="157" t="str" cm="1">
        <f t="array" ref="D267">IF(INDEX(tbl_Ledger[Invoice Number],ROWS($B$27:$B267))="","",INDEX(tbl_Ledger[Invoice Number],ROWS($B$27:$B267)))</f>
        <v>SIN-2026-0101</v>
      </c>
      <c r="E267" s="157" t="str" cm="1">
        <f t="array" ref="E267">INDEX(tbl_Ledger[Tax Category],ROWS($B$27:$B267))</f>
        <v>IN_EXEMPT</v>
      </c>
      <c r="F267" s="157" t="str" cm="1">
        <f t="array" ref="F267">INDEX(tbl_Ledger[Direction],ROWS($B$27:$B267))</f>
        <v>Outflow</v>
      </c>
      <c r="G267" s="159" cm="1">
        <f t="array" ref="G267">INDEX(tbl_Ledger[Tax Charged on Invoice],ROWS($B$27:$B267))</f>
        <v>0</v>
      </c>
      <c r="H267" s="159" cm="1">
        <f t="array" ref="H267">INDEX(tbl_Ledger[Expected Total Tax],ROWS($B$27:$B267))</f>
        <v>0</v>
      </c>
      <c r="I267" s="159" t="str" cm="1">
        <f t="array" ref="I267">INDEX(tbl_Ledger[Description],ROWS($B$27:$B267))</f>
        <v>Diesel (AGO) purchased for own fleet use, 8,961 litres</v>
      </c>
      <c r="J267" s="159" t="str" cm="1">
        <f t="array" ref="J267">INDEX(tbl_Ledger[Counterparty],ROWS($B$27:$B267))</f>
        <v>Zenith Fuel Depot Ltd</v>
      </c>
      <c r="K267" s="160" t="str">
        <f>IF(COUNTIF(Dup_Exclusions,$E267)&gt;0,"No","Yes")</f>
        <v>Yes</v>
      </c>
      <c r="L267" s="161" t="str">
        <f>IF(AND($D267="",COUNTIF(NoInv_Exempt,$E267)=0),"Yes","No")</f>
        <v>No</v>
      </c>
      <c r="M267" s="161" t="str" cm="1">
        <f t="array" ref="M267">IF(AND($D267&lt;&gt;"",$K267="Yes"),IF(SUMPRODUCT((tbl_Ledger[Invoice Number]=$D267)*(COUNTIF(Dup_Exclusions,tbl_Ledger[Tax Category])=0))&gt;1,"Yes","No"),"No")</f>
        <v>No</v>
      </c>
      <c r="N267" s="161" t="str">
        <f>IF(ABS($G267-$H267)&gt;Tax_Tolerance,"Yes","No")</f>
        <v>No</v>
      </c>
      <c r="O267" s="161" t="str">
        <f>IF(OR(AND($F267="Inflow",LEFT($E267,LEN(Prefix_Outflow))=Prefix_Outflow),AND($F267="Outflow",LEFT($E267,LEN(Prefix_Inflow))=Prefix_Inflow)),"Yes","No")</f>
        <v>No</v>
      </c>
      <c r="P267" s="161" t="str" cm="1">
        <f t="array" ref="P267">IF(AND(COUNTIF(Suspect_Categories,$E267)&gt;0,SUMPRODUCT(--ISNUMBER(SEARCH(Suspect_Keywords,$I267&amp;" "&amp;$J267)))&gt;0),"Yes","No")</f>
        <v>No</v>
      </c>
      <c r="Q267" s="161" t="str">
        <f t="shared" si="1"/>
        <v>No</v>
      </c>
    </row>
    <row r="268" spans="1:17" x14ac:dyDescent="0.3">
      <c r="A268" s="11"/>
      <c r="B268" s="157" cm="1">
        <f t="array" ref="B268">INDEX(tbl_Ledger[Row ID],ROWS($B$27:$B268))</f>
        <v>242</v>
      </c>
      <c r="C268" s="158" cm="1">
        <f t="array" ref="C268">INDEX(tbl_Ledger[Date],ROWS($B$27:$B268))</f>
        <v>46214</v>
      </c>
      <c r="D268" s="157" t="str" cm="1">
        <f t="array" ref="D268">IF(INDEX(tbl_Ledger[Invoice Number],ROWS($B$27:$B268))="","",INDEX(tbl_Ledger[Invoice Number],ROWS($B$27:$B268)))</f>
        <v>NHL-2026-0090</v>
      </c>
      <c r="E268" s="157" t="str" cm="1">
        <f t="array" ref="E268">INDEX(tbl_Ledger[Tax Category],ROWS($B$27:$B268))</f>
        <v>OUT_STD</v>
      </c>
      <c r="F268" s="157" t="str" cm="1">
        <f t="array" ref="F268">INDEX(tbl_Ledger[Direction],ROWS($B$27:$B268))</f>
        <v>Inflow</v>
      </c>
      <c r="G268" s="159" cm="1">
        <f t="array" ref="G268">INDEX(tbl_Ledger[Tax Charged on Invoice],ROWS($B$27:$B268))</f>
        <v>12592.8</v>
      </c>
      <c r="H268" s="159" cm="1">
        <f t="array" ref="H268">INDEX(tbl_Ledger[Expected Total Tax],ROWS($B$27:$B268))</f>
        <v>12592.800000000001</v>
      </c>
      <c r="I268" s="159" t="str" cm="1">
        <f t="array" ref="I268">INDEX(tbl_Ledger[Description],ROWS($B$27:$B268))</f>
        <v>Bulk haulage of AGO, Tema-Bolgatanga, 4 trips</v>
      </c>
      <c r="J268" s="159" t="str" cm="1">
        <f t="array" ref="J268">INDEX(tbl_Ledger[Counterparty],ROWS($B$27:$B268))</f>
        <v>Volta Star Fuels Ltd</v>
      </c>
      <c r="K268" s="160" t="str">
        <f>IF(COUNTIF(Dup_Exclusions,$E268)&gt;0,"No","Yes")</f>
        <v>Yes</v>
      </c>
      <c r="L268" s="161" t="str">
        <f>IF(AND($D268="",COUNTIF(NoInv_Exempt,$E268)=0),"Yes","No")</f>
        <v>No</v>
      </c>
      <c r="M268" s="161" t="str" cm="1">
        <f t="array" ref="M268">IF(AND($D268&lt;&gt;"",$K268="Yes"),IF(SUMPRODUCT((tbl_Ledger[Invoice Number]=$D268)*(COUNTIF(Dup_Exclusions,tbl_Ledger[Tax Category])=0))&gt;1,"Yes","No"),"No")</f>
        <v>Yes</v>
      </c>
      <c r="N268" s="161" t="str">
        <f>IF(ABS($G268-$H268)&gt;Tax_Tolerance,"Yes","No")</f>
        <v>No</v>
      </c>
      <c r="O268" s="161" t="str">
        <f>IF(OR(AND($F268="Inflow",LEFT($E268,LEN(Prefix_Outflow))=Prefix_Outflow),AND($F268="Outflow",LEFT($E268,LEN(Prefix_Inflow))=Prefix_Inflow)),"Yes","No")</f>
        <v>No</v>
      </c>
      <c r="P268" s="161" t="str" cm="1">
        <f t="array" ref="P268">IF(AND(COUNTIF(Suspect_Categories,$E268)&gt;0,SUMPRODUCT(--ISNUMBER(SEARCH(Suspect_Keywords,$I268&amp;" "&amp;$J268)))&gt;0),"Yes","No")</f>
        <v>No</v>
      </c>
      <c r="Q268" s="161" t="str">
        <f t="shared" si="1"/>
        <v>Yes</v>
      </c>
    </row>
    <row r="269" spans="1:17" x14ac:dyDescent="0.3">
      <c r="A269" s="11"/>
      <c r="B269" s="157" cm="1">
        <f t="array" ref="B269">INDEX(tbl_Ledger[Row ID],ROWS($B$27:$B269))</f>
        <v>243</v>
      </c>
      <c r="C269" s="158" cm="1">
        <f t="array" ref="C269">INDEX(tbl_Ledger[Date],ROWS($B$27:$B269))</f>
        <v>46215</v>
      </c>
      <c r="D269" s="157" t="str" cm="1">
        <f t="array" ref="D269">IF(INDEX(tbl_Ledger[Invoice Number],ROWS($B$27:$B269))="","",INDEX(tbl_Ledger[Invoice Number],ROWS($B$27:$B269)))</f>
        <v>GRA-2026-0013</v>
      </c>
      <c r="E269" s="157" t="str" cm="1">
        <f t="array" ref="E269">INDEX(tbl_Ledger[Tax Category],ROWS($B$27:$B269))</f>
        <v>NO_VAT</v>
      </c>
      <c r="F269" s="157" t="str" cm="1">
        <f t="array" ref="F269">INDEX(tbl_Ledger[Direction],ROWS($B$27:$B269))</f>
        <v>Outflow</v>
      </c>
      <c r="G269" s="159" cm="1">
        <f t="array" ref="G269">INDEX(tbl_Ledger[Tax Charged on Invoice],ROWS($B$27:$B269))</f>
        <v>0</v>
      </c>
      <c r="H269" s="159" cm="1">
        <f t="array" ref="H269">INDEX(tbl_Ledger[Expected Total Tax],ROWS($B$27:$B269))</f>
        <v>0</v>
      </c>
      <c r="I269" s="159" t="str" cm="1">
        <f t="array" ref="I269">INDEX(tbl_Ledger[Description],ROWS($B$27:$B269))</f>
        <v>PAYE and SSNIT contributions - July</v>
      </c>
      <c r="J269" s="159" t="str" cm="1">
        <f t="array" ref="J269">INDEX(tbl_Ledger[Counterparty],ROWS($B$27:$B269))</f>
        <v>Ghana Revenue Authority</v>
      </c>
      <c r="K269" s="160" t="str">
        <f>IF(COUNTIF(Dup_Exclusions,$E269)&gt;0,"No","Yes")</f>
        <v>Yes</v>
      </c>
      <c r="L269" s="161" t="str">
        <f>IF(AND($D269="",COUNTIF(NoInv_Exempt,$E269)=0),"Yes","No")</f>
        <v>No</v>
      </c>
      <c r="M269" s="161" t="str" cm="1">
        <f t="array" ref="M269">IF(AND($D269&lt;&gt;"",$K269="Yes"),IF(SUMPRODUCT((tbl_Ledger[Invoice Number]=$D269)*(COUNTIF(Dup_Exclusions,tbl_Ledger[Tax Category])=0))&gt;1,"Yes","No"),"No")</f>
        <v>No</v>
      </c>
      <c r="N269" s="161" t="str">
        <f>IF(ABS($G269-$H269)&gt;Tax_Tolerance,"Yes","No")</f>
        <v>No</v>
      </c>
      <c r="O269" s="161" t="str">
        <f>IF(OR(AND($F269="Inflow",LEFT($E269,LEN(Prefix_Outflow))=Prefix_Outflow),AND($F269="Outflow",LEFT($E269,LEN(Prefix_Inflow))=Prefix_Inflow)),"Yes","No")</f>
        <v>No</v>
      </c>
      <c r="P269" s="161" t="str" cm="1">
        <f t="array" ref="P269">IF(AND(COUNTIF(Suspect_Categories,$E269)&gt;0,SUMPRODUCT(--ISNUMBER(SEARCH(Suspect_Keywords,$I269&amp;" "&amp;$J269)))&gt;0),"Yes","No")</f>
        <v>No</v>
      </c>
      <c r="Q269" s="161" t="str">
        <f t="shared" si="1"/>
        <v>No</v>
      </c>
    </row>
    <row r="270" spans="1:17" x14ac:dyDescent="0.3">
      <c r="A270" s="11"/>
      <c r="B270" s="157" cm="1">
        <f t="array" ref="B270">INDEX(tbl_Ledger[Row ID],ROWS($B$27:$B270))</f>
        <v>244</v>
      </c>
      <c r="C270" s="158" cm="1">
        <f t="array" ref="C270">INDEX(tbl_Ledger[Date],ROWS($B$27:$B270))</f>
        <v>46215</v>
      </c>
      <c r="D270" s="157" t="str" cm="1">
        <f t="array" ref="D270">IF(INDEX(tbl_Ledger[Invoice Number],ROWS($B$27:$B270))="","",INDEX(tbl_Ledger[Invoice Number],ROWS($B$27:$B270)))</f>
        <v>NHL-2026-0091</v>
      </c>
      <c r="E270" s="157" t="str" cm="1">
        <f t="array" ref="E270">INDEX(tbl_Ledger[Tax Category],ROWS($B$27:$B270))</f>
        <v>OUT_STD</v>
      </c>
      <c r="F270" s="157" t="str" cm="1">
        <f t="array" ref="F270">INDEX(tbl_Ledger[Direction],ROWS($B$27:$B270))</f>
        <v>Inflow</v>
      </c>
      <c r="G270" s="159" cm="1">
        <f t="array" ref="G270">INDEX(tbl_Ledger[Tax Charged on Invoice],ROWS($B$27:$B270))</f>
        <v>8369.2000000000007</v>
      </c>
      <c r="H270" s="159" cm="1">
        <f t="array" ref="H270">INDEX(tbl_Ledger[Expected Total Tax],ROWS($B$27:$B270))</f>
        <v>8369.1999999999989</v>
      </c>
      <c r="I270" s="159" t="str" cm="1">
        <f t="array" ref="I270">INDEX(tbl_Ledger[Description],ROWS($B$27:$B270))</f>
        <v>Bulk haulage of LPG, Tema-Ho, 3 trips</v>
      </c>
      <c r="J270" s="159" t="str" cm="1">
        <f t="array" ref="J270">INDEX(tbl_Ledger[Counterparty],ROWS($B$27:$B270))</f>
        <v>Golden Harmattan Energy Ltd</v>
      </c>
      <c r="K270" s="160" t="str">
        <f>IF(COUNTIF(Dup_Exclusions,$E270)&gt;0,"No","Yes")</f>
        <v>Yes</v>
      </c>
      <c r="L270" s="161" t="str">
        <f>IF(AND($D270="",COUNTIF(NoInv_Exempt,$E270)=0),"Yes","No")</f>
        <v>No</v>
      </c>
      <c r="M270" s="161" t="str" cm="1">
        <f t="array" ref="M270">IF(AND($D270&lt;&gt;"",$K270="Yes"),IF(SUMPRODUCT((tbl_Ledger[Invoice Number]=$D270)*(COUNTIF(Dup_Exclusions,tbl_Ledger[Tax Category])=0))&gt;1,"Yes","No"),"No")</f>
        <v>No</v>
      </c>
      <c r="N270" s="161" t="str">
        <f>IF(ABS($G270-$H270)&gt;Tax_Tolerance,"Yes","No")</f>
        <v>No</v>
      </c>
      <c r="O270" s="161" t="str">
        <f>IF(OR(AND($F270="Inflow",LEFT($E270,LEN(Prefix_Outflow))=Prefix_Outflow),AND($F270="Outflow",LEFT($E270,LEN(Prefix_Inflow))=Prefix_Inflow)),"Yes","No")</f>
        <v>No</v>
      </c>
      <c r="P270" s="161" t="str" cm="1">
        <f t="array" ref="P270">IF(AND(COUNTIF(Suspect_Categories,$E270)&gt;0,SUMPRODUCT(--ISNUMBER(SEARCH(Suspect_Keywords,$I270&amp;" "&amp;$J270)))&gt;0),"Yes","No")</f>
        <v>No</v>
      </c>
      <c r="Q270" s="161" t="str">
        <f t="shared" si="1"/>
        <v>No</v>
      </c>
    </row>
    <row r="271" spans="1:17" x14ac:dyDescent="0.3">
      <c r="A271" s="11"/>
      <c r="B271" s="157" cm="1">
        <f t="array" ref="B271">INDEX(tbl_Ledger[Row ID],ROWS($B$27:$B271))</f>
        <v>245</v>
      </c>
      <c r="C271" s="158" cm="1">
        <f t="array" ref="C271">INDEX(tbl_Ledger[Date],ROWS($B$27:$B271))</f>
        <v>46218</v>
      </c>
      <c r="D271" s="157" t="str" cm="1">
        <f t="array" ref="D271">IF(INDEX(tbl_Ledger[Invoice Number],ROWS($B$27:$B271))="","",INDEX(tbl_Ledger[Invoice Number],ROWS($B$27:$B271)))</f>
        <v>SIN-2026-0102</v>
      </c>
      <c r="E271" s="157" t="str" cm="1">
        <f t="array" ref="E271">INDEX(tbl_Ledger[Tax Category],ROWS($B$27:$B271))</f>
        <v>IN_EXEMPT</v>
      </c>
      <c r="F271" s="157" t="str" cm="1">
        <f t="array" ref="F271">INDEX(tbl_Ledger[Direction],ROWS($B$27:$B271))</f>
        <v>Outflow</v>
      </c>
      <c r="G271" s="159" cm="1">
        <f t="array" ref="G271">INDEX(tbl_Ledger[Tax Charged on Invoice],ROWS($B$27:$B271))</f>
        <v>0</v>
      </c>
      <c r="H271" s="159" cm="1">
        <f t="array" ref="H271">INDEX(tbl_Ledger[Expected Total Tax],ROWS($B$27:$B271))</f>
        <v>0</v>
      </c>
      <c r="I271" s="159" t="str" cm="1">
        <f t="array" ref="I271">INDEX(tbl_Ledger[Description],ROWS($B$27:$B271))</f>
        <v>Diesel (AGO) purchased for own fleet use, 23,807 litres</v>
      </c>
      <c r="J271" s="159" t="str" cm="1">
        <f t="array" ref="J271">INDEX(tbl_Ledger[Counterparty],ROWS($B$27:$B271))</f>
        <v>Zenith Fuel Depot Ltd</v>
      </c>
      <c r="K271" s="160" t="str">
        <f>IF(COUNTIF(Dup_Exclusions,$E271)&gt;0,"No","Yes")</f>
        <v>Yes</v>
      </c>
      <c r="L271" s="161" t="str">
        <f>IF(AND($D271="",COUNTIF(NoInv_Exempt,$E271)=0),"Yes","No")</f>
        <v>No</v>
      </c>
      <c r="M271" s="161" t="str" cm="1">
        <f t="array" ref="M271">IF(AND($D271&lt;&gt;"",$K271="Yes"),IF(SUMPRODUCT((tbl_Ledger[Invoice Number]=$D271)*(COUNTIF(Dup_Exclusions,tbl_Ledger[Tax Category])=0))&gt;1,"Yes","No"),"No")</f>
        <v>No</v>
      </c>
      <c r="N271" s="161" t="str">
        <f>IF(ABS($G271-$H271)&gt;Tax_Tolerance,"Yes","No")</f>
        <v>No</v>
      </c>
      <c r="O271" s="161" t="str">
        <f>IF(OR(AND($F271="Inflow",LEFT($E271,LEN(Prefix_Outflow))=Prefix_Outflow),AND($F271="Outflow",LEFT($E271,LEN(Prefix_Inflow))=Prefix_Inflow)),"Yes","No")</f>
        <v>No</v>
      </c>
      <c r="P271" s="161" t="str" cm="1">
        <f t="array" ref="P271">IF(AND(COUNTIF(Suspect_Categories,$E271)&gt;0,SUMPRODUCT(--ISNUMBER(SEARCH(Suspect_Keywords,$I271&amp;" "&amp;$J271)))&gt;0),"Yes","No")</f>
        <v>No</v>
      </c>
      <c r="Q271" s="161" t="str">
        <f t="shared" si="1"/>
        <v>No</v>
      </c>
    </row>
    <row r="272" spans="1:17" x14ac:dyDescent="0.3">
      <c r="A272" s="11"/>
      <c r="B272" s="157" cm="1">
        <f t="array" ref="B272">INDEX(tbl_Ledger[Row ID],ROWS($B$27:$B272))</f>
        <v>246</v>
      </c>
      <c r="C272" s="158" cm="1">
        <f t="array" ref="C272">INDEX(tbl_Ledger[Date],ROWS($B$27:$B272))</f>
        <v>46218</v>
      </c>
      <c r="D272" s="157" t="str" cm="1">
        <f t="array" ref="D272">IF(INDEX(tbl_Ledger[Invoice Number],ROWS($B$27:$B272))="","",INDEX(tbl_Ledger[Invoice Number],ROWS($B$27:$B272)))</f>
        <v>SIN-2026-0103</v>
      </c>
      <c r="E272" s="157" t="str" cm="1">
        <f t="array" ref="E272">INDEX(tbl_Ledger[Tax Category],ROWS($B$27:$B272))</f>
        <v>IN_STD</v>
      </c>
      <c r="F272" s="157" t="str" cm="1">
        <f t="array" ref="F272">INDEX(tbl_Ledger[Direction],ROWS($B$27:$B272))</f>
        <v>Outflow</v>
      </c>
      <c r="G272" s="159" cm="1">
        <f t="array" ref="G272">INDEX(tbl_Ledger[Tax Charged on Invoice],ROWS($B$27:$B272))</f>
        <v>3354.2</v>
      </c>
      <c r="H272" s="159" cm="1">
        <f t="array" ref="H272">INDEX(tbl_Ledger[Expected Total Tax],ROWS($B$27:$B272))</f>
        <v>3354.2000000000003</v>
      </c>
      <c r="I272" s="159" t="str" cm="1">
        <f t="array" ref="I272">INDEX(tbl_Ledger[Description],ROWS($B$27:$B272))</f>
        <v>Truck spare parts and filters</v>
      </c>
      <c r="J272" s="159" t="str" cm="1">
        <f t="array" ref="J272">INDEX(tbl_Ledger[Counterparty],ROWS($B$27:$B272))</f>
        <v>Adom Telecom Ghana Ltd</v>
      </c>
      <c r="K272" s="160" t="str">
        <f>IF(COUNTIF(Dup_Exclusions,$E272)&gt;0,"No","Yes")</f>
        <v>Yes</v>
      </c>
      <c r="L272" s="161" t="str">
        <f>IF(AND($D272="",COUNTIF(NoInv_Exempt,$E272)=0),"Yes","No")</f>
        <v>No</v>
      </c>
      <c r="M272" s="161" t="str" cm="1">
        <f t="array" ref="M272">IF(AND($D272&lt;&gt;"",$K272="Yes"),IF(SUMPRODUCT((tbl_Ledger[Invoice Number]=$D272)*(COUNTIF(Dup_Exclusions,tbl_Ledger[Tax Category])=0))&gt;1,"Yes","No"),"No")</f>
        <v>No</v>
      </c>
      <c r="N272" s="161" t="str">
        <f>IF(ABS($G272-$H272)&gt;Tax_Tolerance,"Yes","No")</f>
        <v>No</v>
      </c>
      <c r="O272" s="161" t="str">
        <f>IF(OR(AND($F272="Inflow",LEFT($E272,LEN(Prefix_Outflow))=Prefix_Outflow),AND($F272="Outflow",LEFT($E272,LEN(Prefix_Inflow))=Prefix_Inflow)),"Yes","No")</f>
        <v>No</v>
      </c>
      <c r="P272" s="161" t="str" cm="1">
        <f t="array" ref="P272">IF(AND(COUNTIF(Suspect_Categories,$E272)&gt;0,SUMPRODUCT(--ISNUMBER(SEARCH(Suspect_Keywords,$I272&amp;" "&amp;$J272)))&gt;0),"Yes","No")</f>
        <v>No</v>
      </c>
      <c r="Q272" s="161" t="str">
        <f t="shared" si="1"/>
        <v>No</v>
      </c>
    </row>
    <row r="273" spans="1:17" x14ac:dyDescent="0.3">
      <c r="A273" s="11"/>
      <c r="B273" s="157" cm="1">
        <f t="array" ref="B273">INDEX(tbl_Ledger[Row ID],ROWS($B$27:$B273))</f>
        <v>247</v>
      </c>
      <c r="C273" s="158" cm="1">
        <f t="array" ref="C273">INDEX(tbl_Ledger[Date],ROWS($B$27:$B273))</f>
        <v>46218</v>
      </c>
      <c r="D273" s="157" t="str" cm="1">
        <f t="array" ref="D273">IF(INDEX(tbl_Ledger[Invoice Number],ROWS($B$27:$B273))="","",INDEX(tbl_Ledger[Invoice Number],ROWS($B$27:$B273)))</f>
        <v>LN-2026-0007</v>
      </c>
      <c r="E273" s="157" t="str" cm="1">
        <f t="array" ref="E273">INDEX(tbl_Ledger[Tax Category],ROWS($B$27:$B273))</f>
        <v>NO_VAT</v>
      </c>
      <c r="F273" s="157" t="str" cm="1">
        <f t="array" ref="F273">INDEX(tbl_Ledger[Direction],ROWS($B$27:$B273))</f>
        <v>Outflow</v>
      </c>
      <c r="G273" s="159" cm="1">
        <f t="array" ref="G273">INDEX(tbl_Ledger[Tax Charged on Invoice],ROWS($B$27:$B273))</f>
        <v>0</v>
      </c>
      <c r="H273" s="159" cm="1">
        <f t="array" ref="H273">INDEX(tbl_Ledger[Expected Total Tax],ROWS($B$27:$B273))</f>
        <v>0</v>
      </c>
      <c r="I273" s="159" t="str" cm="1">
        <f t="array" ref="I273">INDEX(tbl_Ledger[Description],ROWS($B$27:$B273))</f>
        <v>Term loan repayment - principal and interest, instalment 7</v>
      </c>
      <c r="J273" s="159" t="str" cm="1">
        <f t="array" ref="J273">INDEX(tbl_Ledger[Counterparty],ROWS($B$27:$B273))</f>
        <v>Meridian Bank Ghana Ltd</v>
      </c>
      <c r="K273" s="160" t="str">
        <f>IF(COUNTIF(Dup_Exclusions,$E273)&gt;0,"No","Yes")</f>
        <v>Yes</v>
      </c>
      <c r="L273" s="161" t="str">
        <f>IF(AND($D273="",COUNTIF(NoInv_Exempt,$E273)=0),"Yes","No")</f>
        <v>No</v>
      </c>
      <c r="M273" s="161" t="str" cm="1">
        <f t="array" ref="M273">IF(AND($D273&lt;&gt;"",$K273="Yes"),IF(SUMPRODUCT((tbl_Ledger[Invoice Number]=$D273)*(COUNTIF(Dup_Exclusions,tbl_Ledger[Tax Category])=0))&gt;1,"Yes","No"),"No")</f>
        <v>No</v>
      </c>
      <c r="N273" s="161" t="str">
        <f>IF(ABS($G273-$H273)&gt;Tax_Tolerance,"Yes","No")</f>
        <v>No</v>
      </c>
      <c r="O273" s="161" t="str">
        <f>IF(OR(AND($F273="Inflow",LEFT($E273,LEN(Prefix_Outflow))=Prefix_Outflow),AND($F273="Outflow",LEFT($E273,LEN(Prefix_Inflow))=Prefix_Inflow)),"Yes","No")</f>
        <v>No</v>
      </c>
      <c r="P273" s="161" t="str" cm="1">
        <f t="array" ref="P273">IF(AND(COUNTIF(Suspect_Categories,$E273)&gt;0,SUMPRODUCT(--ISNUMBER(SEARCH(Suspect_Keywords,$I273&amp;" "&amp;$J273)))&gt;0),"Yes","No")</f>
        <v>No</v>
      </c>
      <c r="Q273" s="161" t="str">
        <f t="shared" si="1"/>
        <v>No</v>
      </c>
    </row>
    <row r="274" spans="1:17" x14ac:dyDescent="0.3">
      <c r="A274" s="11"/>
      <c r="B274" s="157" cm="1">
        <f t="array" ref="B274">INDEX(tbl_Ledger[Row ID],ROWS($B$27:$B274))</f>
        <v>248</v>
      </c>
      <c r="C274" s="158" cm="1">
        <f t="array" ref="C274">INDEX(tbl_Ledger[Date],ROWS($B$27:$B274))</f>
        <v>46218</v>
      </c>
      <c r="D274" s="157" t="str" cm="1">
        <f t="array" ref="D274">IF(INDEX(tbl_Ledger[Invoice Number],ROWS($B$27:$B274))="","",INDEX(tbl_Ledger[Invoice Number],ROWS($B$27:$B274)))</f>
        <v>NHL-2026-0092</v>
      </c>
      <c r="E274" s="157" t="str" cm="1">
        <f t="array" ref="E274">INDEX(tbl_Ledger[Tax Category],ROWS($B$27:$B274))</f>
        <v>OUT_STD</v>
      </c>
      <c r="F274" s="157" t="str" cm="1">
        <f t="array" ref="F274">INDEX(tbl_Ledger[Direction],ROWS($B$27:$B274))</f>
        <v>Inflow</v>
      </c>
      <c r="G274" s="159" cm="1">
        <f t="array" ref="G274">INDEX(tbl_Ledger[Tax Charged on Invoice],ROWS($B$27:$B274))</f>
        <v>14468.6</v>
      </c>
      <c r="H274" s="159" cm="1">
        <f t="array" ref="H274">INDEX(tbl_Ledger[Expected Total Tax],ROWS($B$27:$B274))</f>
        <v>14468.6</v>
      </c>
      <c r="I274" s="159" t="str" cm="1">
        <f t="array" ref="I274">INDEX(tbl_Ledger[Description],ROWS($B$27:$B274))</f>
        <v>Bulk haulage of LPG, Tema-Takoradi, 3 trips</v>
      </c>
      <c r="J274" s="159" t="str" cm="1">
        <f t="array" ref="J274">INDEX(tbl_Ledger[Counterparty],ROWS($B$27:$B274))</f>
        <v>Keta Coastal Oils Ltd</v>
      </c>
      <c r="K274" s="160" t="str">
        <f>IF(COUNTIF(Dup_Exclusions,$E274)&gt;0,"No","Yes")</f>
        <v>Yes</v>
      </c>
      <c r="L274" s="161" t="str">
        <f>IF(AND($D274="",COUNTIF(NoInv_Exempt,$E274)=0),"Yes","No")</f>
        <v>No</v>
      </c>
      <c r="M274" s="161" t="str" cm="1">
        <f t="array" ref="M274">IF(AND($D274&lt;&gt;"",$K274="Yes"),IF(SUMPRODUCT((tbl_Ledger[Invoice Number]=$D274)*(COUNTIF(Dup_Exclusions,tbl_Ledger[Tax Category])=0))&gt;1,"Yes","No"),"No")</f>
        <v>No</v>
      </c>
      <c r="N274" s="161" t="str">
        <f>IF(ABS($G274-$H274)&gt;Tax_Tolerance,"Yes","No")</f>
        <v>No</v>
      </c>
      <c r="O274" s="161" t="str">
        <f>IF(OR(AND($F274="Inflow",LEFT($E274,LEN(Prefix_Outflow))=Prefix_Outflow),AND($F274="Outflow",LEFT($E274,LEN(Prefix_Inflow))=Prefix_Inflow)),"Yes","No")</f>
        <v>No</v>
      </c>
      <c r="P274" s="161" t="str" cm="1">
        <f t="array" ref="P274">IF(AND(COUNTIF(Suspect_Categories,$E274)&gt;0,SUMPRODUCT(--ISNUMBER(SEARCH(Suspect_Keywords,$I274&amp;" "&amp;$J274)))&gt;0),"Yes","No")</f>
        <v>No</v>
      </c>
      <c r="Q274" s="161" t="str">
        <f t="shared" si="1"/>
        <v>No</v>
      </c>
    </row>
    <row r="275" spans="1:17" x14ac:dyDescent="0.3">
      <c r="A275" s="11"/>
      <c r="B275" s="157" cm="1">
        <f t="array" ref="B275">INDEX(tbl_Ledger[Row ID],ROWS($B$27:$B275))</f>
        <v>249</v>
      </c>
      <c r="C275" s="158" cm="1">
        <f t="array" ref="C275">INDEX(tbl_Ledger[Date],ROWS($B$27:$B275))</f>
        <v>46219</v>
      </c>
      <c r="D275" s="157" t="str" cm="1">
        <f t="array" ref="D275">IF(INDEX(tbl_Ledger[Invoice Number],ROWS($B$27:$B275))="","",INDEX(tbl_Ledger[Invoice Number],ROWS($B$27:$B275)))</f>
        <v>NHL-2026-0093</v>
      </c>
      <c r="E275" s="157" t="str" cm="1">
        <f t="array" ref="E275">INDEX(tbl_Ledger[Tax Category],ROWS($B$27:$B275))</f>
        <v>OUT_STD</v>
      </c>
      <c r="F275" s="157" t="str" cm="1">
        <f t="array" ref="F275">INDEX(tbl_Ledger[Direction],ROWS($B$27:$B275))</f>
        <v>Inflow</v>
      </c>
      <c r="G275" s="159" cm="1">
        <f t="array" ref="G275">INDEX(tbl_Ledger[Tax Charged on Invoice],ROWS($B$27:$B275))</f>
        <v>14241.6</v>
      </c>
      <c r="H275" s="159" cm="1">
        <f t="array" ref="H275">INDEX(tbl_Ledger[Expected Total Tax],ROWS($B$27:$B275))</f>
        <v>14241.6</v>
      </c>
      <c r="I275" s="159" t="str" cm="1">
        <f t="array" ref="I275">INDEX(tbl_Ledger[Description],ROWS($B$27:$B275))</f>
        <v>Bulk haulage of AGO, Takoradi-Tamale, 9 trips</v>
      </c>
      <c r="J275" s="159" t="str" cm="1">
        <f t="array" ref="J275">INDEX(tbl_Ledger[Counterparty],ROWS($B$27:$B275))</f>
        <v>Tema Bulk Energy Ltd</v>
      </c>
      <c r="K275" s="160" t="str">
        <f>IF(COUNTIF(Dup_Exclusions,$E275)&gt;0,"No","Yes")</f>
        <v>Yes</v>
      </c>
      <c r="L275" s="161" t="str">
        <f>IF(AND($D275="",COUNTIF(NoInv_Exempt,$E275)=0),"Yes","No")</f>
        <v>No</v>
      </c>
      <c r="M275" s="161" t="str" cm="1">
        <f t="array" ref="M275">IF(AND($D275&lt;&gt;"",$K275="Yes"),IF(SUMPRODUCT((tbl_Ledger[Invoice Number]=$D275)*(COUNTIF(Dup_Exclusions,tbl_Ledger[Tax Category])=0))&gt;1,"Yes","No"),"No")</f>
        <v>No</v>
      </c>
      <c r="N275" s="161" t="str">
        <f>IF(ABS($G275-$H275)&gt;Tax_Tolerance,"Yes","No")</f>
        <v>No</v>
      </c>
      <c r="O275" s="161" t="str">
        <f>IF(OR(AND($F275="Inflow",LEFT($E275,LEN(Prefix_Outflow))=Prefix_Outflow),AND($F275="Outflow",LEFT($E275,LEN(Prefix_Inflow))=Prefix_Inflow)),"Yes","No")</f>
        <v>No</v>
      </c>
      <c r="P275" s="161" t="str" cm="1">
        <f t="array" ref="P275">IF(AND(COUNTIF(Suspect_Categories,$E275)&gt;0,SUMPRODUCT(--ISNUMBER(SEARCH(Suspect_Keywords,$I275&amp;" "&amp;$J275)))&gt;0),"Yes","No")</f>
        <v>No</v>
      </c>
      <c r="Q275" s="161" t="str">
        <f t="shared" si="1"/>
        <v>No</v>
      </c>
    </row>
    <row r="276" spans="1:17" x14ac:dyDescent="0.3">
      <c r="A276" s="11"/>
      <c r="B276" s="157" cm="1">
        <f t="array" ref="B276">INDEX(tbl_Ledger[Row ID],ROWS($B$27:$B276))</f>
        <v>250</v>
      </c>
      <c r="C276" s="158" cm="1">
        <f t="array" ref="C276">INDEX(tbl_Ledger[Date],ROWS($B$27:$B276))</f>
        <v>46223</v>
      </c>
      <c r="D276" s="157" t="str" cm="1">
        <f t="array" ref="D276">IF(INDEX(tbl_Ledger[Invoice Number],ROWS($B$27:$B276))="","",INDEX(tbl_Ledger[Invoice Number],ROWS($B$27:$B276)))</f>
        <v>NHL-2026-0094</v>
      </c>
      <c r="E276" s="157" t="str" cm="1">
        <f t="array" ref="E276">INDEX(tbl_Ledger[Tax Category],ROWS($B$27:$B276))</f>
        <v>OUT_STD</v>
      </c>
      <c r="F276" s="157" t="str" cm="1">
        <f t="array" ref="F276">INDEX(tbl_Ledger[Direction],ROWS($B$27:$B276))</f>
        <v>Inflow</v>
      </c>
      <c r="G276" s="159" cm="1">
        <f t="array" ref="G276">INDEX(tbl_Ledger[Tax Charged on Invoice],ROWS($B$27:$B276))</f>
        <v>16205.4</v>
      </c>
      <c r="H276" s="159" cm="1">
        <f t="array" ref="H276">INDEX(tbl_Ledger[Expected Total Tax],ROWS($B$27:$B276))</f>
        <v>16205.399999999998</v>
      </c>
      <c r="I276" s="159" t="str" cm="1">
        <f t="array" ref="I276">INDEX(tbl_Ledger[Description],ROWS($B$27:$B276))</f>
        <v>Bulk haulage of ATK, Takoradi-Tamale, 5 trips</v>
      </c>
      <c r="J276" s="159" t="str" cm="1">
        <f t="array" ref="J276">INDEX(tbl_Ledger[Counterparty],ROWS($B$27:$B276))</f>
        <v>Golden Harmattan Energy Ltd</v>
      </c>
      <c r="K276" s="160" t="str">
        <f>IF(COUNTIF(Dup_Exclusions,$E276)&gt;0,"No","Yes")</f>
        <v>Yes</v>
      </c>
      <c r="L276" s="161" t="str">
        <f>IF(AND($D276="",COUNTIF(NoInv_Exempt,$E276)=0),"Yes","No")</f>
        <v>No</v>
      </c>
      <c r="M276" s="161" t="str" cm="1">
        <f t="array" ref="M276">IF(AND($D276&lt;&gt;"",$K276="Yes"),IF(SUMPRODUCT((tbl_Ledger[Invoice Number]=$D276)*(COUNTIF(Dup_Exclusions,tbl_Ledger[Tax Category])=0))&gt;1,"Yes","No"),"No")</f>
        <v>No</v>
      </c>
      <c r="N276" s="161" t="str">
        <f>IF(ABS($G276-$H276)&gt;Tax_Tolerance,"Yes","No")</f>
        <v>No</v>
      </c>
      <c r="O276" s="161" t="str">
        <f>IF(OR(AND($F276="Inflow",LEFT($E276,LEN(Prefix_Outflow))=Prefix_Outflow),AND($F276="Outflow",LEFT($E276,LEN(Prefix_Inflow))=Prefix_Inflow)),"Yes","No")</f>
        <v>No</v>
      </c>
      <c r="P276" s="161" t="str" cm="1">
        <f t="array" ref="P276">IF(AND(COUNTIF(Suspect_Categories,$E276)&gt;0,SUMPRODUCT(--ISNUMBER(SEARCH(Suspect_Keywords,$I276&amp;" "&amp;$J276)))&gt;0),"Yes","No")</f>
        <v>No</v>
      </c>
      <c r="Q276" s="161" t="str">
        <f t="shared" si="1"/>
        <v>No</v>
      </c>
    </row>
    <row r="277" spans="1:17" x14ac:dyDescent="0.3">
      <c r="A277" s="11"/>
      <c r="B277" s="157" cm="1">
        <f t="array" ref="B277">INDEX(tbl_Ledger[Row ID],ROWS($B$27:$B277))</f>
        <v>251</v>
      </c>
      <c r="C277" s="158" cm="1">
        <f t="array" ref="C277">INDEX(tbl_Ledger[Date],ROWS($B$27:$B277))</f>
        <v>46224</v>
      </c>
      <c r="D277" s="157" t="str" cm="1">
        <f t="array" ref="D277">IF(INDEX(tbl_Ledger[Invoice Number],ROWS($B$27:$B277))="","",INDEX(tbl_Ledger[Invoice Number],ROWS($B$27:$B277)))</f>
        <v>GRA-2026-0014</v>
      </c>
      <c r="E277" s="157" t="str" cm="1">
        <f t="array" ref="E277">INDEX(tbl_Ledger[Tax Category],ROWS($B$27:$B277))</f>
        <v>NO_VAT</v>
      </c>
      <c r="F277" s="157" t="str" cm="1">
        <f t="array" ref="F277">INDEX(tbl_Ledger[Direction],ROWS($B$27:$B277))</f>
        <v>Outflow</v>
      </c>
      <c r="G277" s="159" cm="1">
        <f t="array" ref="G277">INDEX(tbl_Ledger[Tax Charged on Invoice],ROWS($B$27:$B277))</f>
        <v>0</v>
      </c>
      <c r="H277" s="159" cm="1">
        <f t="array" ref="H277">INDEX(tbl_Ledger[Expected Total Tax],ROWS($B$27:$B277))</f>
        <v>0</v>
      </c>
      <c r="I277" s="159" t="str" cm="1">
        <f t="array" ref="I277">INDEX(tbl_Ledger[Description],ROWS($B$27:$B277))</f>
        <v>VAT and levies remitted to GRA for July period</v>
      </c>
      <c r="J277" s="159" t="str" cm="1">
        <f t="array" ref="J277">INDEX(tbl_Ledger[Counterparty],ROWS($B$27:$B277))</f>
        <v>Ghana Revenue Authority</v>
      </c>
      <c r="K277" s="160" t="str">
        <f>IF(COUNTIF(Dup_Exclusions,$E277)&gt;0,"No","Yes")</f>
        <v>Yes</v>
      </c>
      <c r="L277" s="161" t="str">
        <f>IF(AND($D277="",COUNTIF(NoInv_Exempt,$E277)=0),"Yes","No")</f>
        <v>No</v>
      </c>
      <c r="M277" s="161" t="str" cm="1">
        <f t="array" ref="M277">IF(AND($D277&lt;&gt;"",$K277="Yes"),IF(SUMPRODUCT((tbl_Ledger[Invoice Number]=$D277)*(COUNTIF(Dup_Exclusions,tbl_Ledger[Tax Category])=0))&gt;1,"Yes","No"),"No")</f>
        <v>No</v>
      </c>
      <c r="N277" s="161" t="str">
        <f>IF(ABS($G277-$H277)&gt;Tax_Tolerance,"Yes","No")</f>
        <v>No</v>
      </c>
      <c r="O277" s="161" t="str">
        <f>IF(OR(AND($F277="Inflow",LEFT($E277,LEN(Prefix_Outflow))=Prefix_Outflow),AND($F277="Outflow",LEFT($E277,LEN(Prefix_Inflow))=Prefix_Inflow)),"Yes","No")</f>
        <v>No</v>
      </c>
      <c r="P277" s="161" t="str" cm="1">
        <f t="array" ref="P277">IF(AND(COUNTIF(Suspect_Categories,$E277)&gt;0,SUMPRODUCT(--ISNUMBER(SEARCH(Suspect_Keywords,$I277&amp;" "&amp;$J277)))&gt;0),"Yes","No")</f>
        <v>No</v>
      </c>
      <c r="Q277" s="161" t="str">
        <f t="shared" si="1"/>
        <v>No</v>
      </c>
    </row>
    <row r="278" spans="1:17" x14ac:dyDescent="0.3">
      <c r="A278" s="11"/>
      <c r="B278" s="157" cm="1">
        <f t="array" ref="B278">INDEX(tbl_Ledger[Row ID],ROWS($B$27:$B278))</f>
        <v>252</v>
      </c>
      <c r="C278" s="158" cm="1">
        <f t="array" ref="C278">INDEX(tbl_Ledger[Date],ROWS($B$27:$B278))</f>
        <v>46228</v>
      </c>
      <c r="D278" s="157" t="str" cm="1">
        <f t="array" ref="D278">IF(INDEX(tbl_Ledger[Invoice Number],ROWS($B$27:$B278))="","",INDEX(tbl_Ledger[Invoice Number],ROWS($B$27:$B278)))</f>
        <v/>
      </c>
      <c r="E278" s="157" t="str" cm="1">
        <f t="array" ref="E278">INDEX(tbl_Ledger[Tax Category],ROWS($B$27:$B278))</f>
        <v>IN_EXEMPT</v>
      </c>
      <c r="F278" s="157" t="str" cm="1">
        <f t="array" ref="F278">INDEX(tbl_Ledger[Direction],ROWS($B$27:$B278))</f>
        <v>Outflow</v>
      </c>
      <c r="G278" s="159" cm="1">
        <f t="array" ref="G278">INDEX(tbl_Ledger[Tax Charged on Invoice],ROWS($B$27:$B278))</f>
        <v>0</v>
      </c>
      <c r="H278" s="159" cm="1">
        <f t="array" ref="H278">INDEX(tbl_Ledger[Expected Total Tax],ROWS($B$27:$B278))</f>
        <v>0</v>
      </c>
      <c r="I278" s="159" t="str" cm="1">
        <f t="array" ref="I278">INDEX(tbl_Ledger[Description],ROWS($B$27:$B278))</f>
        <v>Cheque book and facility fees</v>
      </c>
      <c r="J278" s="159" t="str" cm="1">
        <f t="array" ref="J278">INDEX(tbl_Ledger[Counterparty],ROWS($B$27:$B278))</f>
        <v>Trust Union Bank Ltd</v>
      </c>
      <c r="K278" s="160" t="str">
        <f>IF(COUNTIF(Dup_Exclusions,$E278)&gt;0,"No","Yes")</f>
        <v>Yes</v>
      </c>
      <c r="L278" s="161" t="str">
        <f>IF(AND($D278="",COUNTIF(NoInv_Exempt,$E278)=0),"Yes","No")</f>
        <v>Yes</v>
      </c>
      <c r="M278" s="161" t="str" cm="1">
        <f t="array" ref="M278">IF(AND($D278&lt;&gt;"",$K278="Yes"),IF(SUMPRODUCT((tbl_Ledger[Invoice Number]=$D278)*(COUNTIF(Dup_Exclusions,tbl_Ledger[Tax Category])=0))&gt;1,"Yes","No"),"No")</f>
        <v>No</v>
      </c>
      <c r="N278" s="161" t="str">
        <f>IF(ABS($G278-$H278)&gt;Tax_Tolerance,"Yes","No")</f>
        <v>No</v>
      </c>
      <c r="O278" s="161" t="str">
        <f>IF(OR(AND($F278="Inflow",LEFT($E278,LEN(Prefix_Outflow))=Prefix_Outflow),AND($F278="Outflow",LEFT($E278,LEN(Prefix_Inflow))=Prefix_Inflow)),"Yes","No")</f>
        <v>No</v>
      </c>
      <c r="P278" s="161" t="str" cm="1">
        <f t="array" ref="P278">IF(AND(COUNTIF(Suspect_Categories,$E278)&gt;0,SUMPRODUCT(--ISNUMBER(SEARCH(Suspect_Keywords,$I278&amp;" "&amp;$J278)))&gt;0),"Yes","No")</f>
        <v>No</v>
      </c>
      <c r="Q278" s="161" t="str">
        <f t="shared" si="1"/>
        <v>Yes</v>
      </c>
    </row>
    <row r="279" spans="1:17" x14ac:dyDescent="0.3">
      <c r="A279" s="11"/>
      <c r="B279" s="157" cm="1">
        <f t="array" ref="B279">INDEX(tbl_Ledger[Row ID],ROWS($B$27:$B279))</f>
        <v>253</v>
      </c>
      <c r="C279" s="158" cm="1">
        <f t="array" ref="C279">INDEX(tbl_Ledger[Date],ROWS($B$27:$B279))</f>
        <v>46228</v>
      </c>
      <c r="D279" s="157" t="str" cm="1">
        <f t="array" ref="D279">IF(INDEX(tbl_Ledger[Invoice Number],ROWS($B$27:$B279))="","",INDEX(tbl_Ledger[Invoice Number],ROWS($B$27:$B279)))</f>
        <v>NHL-2026-0095</v>
      </c>
      <c r="E279" s="157" t="str" cm="1">
        <f t="array" ref="E279">INDEX(tbl_Ledger[Tax Category],ROWS($B$27:$B279))</f>
        <v>OUT_STD</v>
      </c>
      <c r="F279" s="157" t="str" cm="1">
        <f t="array" ref="F279">INDEX(tbl_Ledger[Direction],ROWS($B$27:$B279))</f>
        <v>Inflow</v>
      </c>
      <c r="G279" s="159" cm="1">
        <f t="array" ref="G279">INDEX(tbl_Ledger[Tax Charged on Invoice],ROWS($B$27:$B279))</f>
        <v>5767.6</v>
      </c>
      <c r="H279" s="159" cm="1">
        <f t="array" ref="H279">INDEX(tbl_Ledger[Expected Total Tax],ROWS($B$27:$B279))</f>
        <v>5767.5999999999995</v>
      </c>
      <c r="I279" s="159" t="str" cm="1">
        <f t="array" ref="I279">INDEX(tbl_Ledger[Description],ROWS($B$27:$B279))</f>
        <v>Bulk haulage of ATK, Tema-Kumasi, 5 trips</v>
      </c>
      <c r="J279" s="159" t="str" cm="1">
        <f t="array" ref="J279">INDEX(tbl_Ledger[Counterparty],ROWS($B$27:$B279))</f>
        <v>Sankofa Petroleum Depot Ltd</v>
      </c>
      <c r="K279" s="160" t="str">
        <f>IF(COUNTIF(Dup_Exclusions,$E279)&gt;0,"No","Yes")</f>
        <v>Yes</v>
      </c>
      <c r="L279" s="161" t="str">
        <f>IF(AND($D279="",COUNTIF(NoInv_Exempt,$E279)=0),"Yes","No")</f>
        <v>No</v>
      </c>
      <c r="M279" s="161" t="str" cm="1">
        <f t="array" ref="M279">IF(AND($D279&lt;&gt;"",$K279="Yes"),IF(SUMPRODUCT((tbl_Ledger[Invoice Number]=$D279)*(COUNTIF(Dup_Exclusions,tbl_Ledger[Tax Category])=0))&gt;1,"Yes","No"),"No")</f>
        <v>No</v>
      </c>
      <c r="N279" s="161" t="str">
        <f>IF(ABS($G279-$H279)&gt;Tax_Tolerance,"Yes","No")</f>
        <v>No</v>
      </c>
      <c r="O279" s="161" t="str">
        <f>IF(OR(AND($F279="Inflow",LEFT($E279,LEN(Prefix_Outflow))=Prefix_Outflow),AND($F279="Outflow",LEFT($E279,LEN(Prefix_Inflow))=Prefix_Inflow)),"Yes","No")</f>
        <v>No</v>
      </c>
      <c r="P279" s="161" t="str" cm="1">
        <f t="array" ref="P279">IF(AND(COUNTIF(Suspect_Categories,$E279)&gt;0,SUMPRODUCT(--ISNUMBER(SEARCH(Suspect_Keywords,$I279&amp;" "&amp;$J279)))&gt;0),"Yes","No")</f>
        <v>No</v>
      </c>
      <c r="Q279" s="161" t="str">
        <f t="shared" si="1"/>
        <v>No</v>
      </c>
    </row>
    <row r="280" spans="1:17" x14ac:dyDescent="0.3">
      <c r="A280" s="11"/>
      <c r="B280" s="157" cm="1">
        <f t="array" ref="B280">INDEX(tbl_Ledger[Row ID],ROWS($B$27:$B280))</f>
        <v>254</v>
      </c>
      <c r="C280" s="158" cm="1">
        <f t="array" ref="C280">INDEX(tbl_Ledger[Date],ROWS($B$27:$B280))</f>
        <v>46229</v>
      </c>
      <c r="D280" s="157" t="str" cm="1">
        <f t="array" ref="D280">IF(INDEX(tbl_Ledger[Invoice Number],ROWS($B$27:$B280))="","",INDEX(tbl_Ledger[Invoice Number],ROWS($B$27:$B280)))</f>
        <v>SIN-2026-0104</v>
      </c>
      <c r="E280" s="157" t="str" cm="1">
        <f t="array" ref="E280">INDEX(tbl_Ledger[Tax Category],ROWS($B$27:$B280))</f>
        <v>IN_NONDED</v>
      </c>
      <c r="F280" s="157" t="str" cm="1">
        <f t="array" ref="F280">INDEX(tbl_Ledger[Direction],ROWS($B$27:$B280))</f>
        <v>Outflow</v>
      </c>
      <c r="G280" s="159" cm="1">
        <f t="array" ref="G280">INDEX(tbl_Ledger[Tax Charged on Invoice],ROWS($B$27:$B280))</f>
        <v>2343</v>
      </c>
      <c r="H280" s="159" cm="1">
        <f t="array" ref="H280">INDEX(tbl_Ledger[Expected Total Tax],ROWS($B$27:$B280))</f>
        <v>2343</v>
      </c>
      <c r="I280" s="159" t="str" cm="1">
        <f t="array" ref="I280">INDEX(tbl_Ledger[Description],ROWS($B$27:$B280))</f>
        <v>Year-end staff function</v>
      </c>
      <c r="J280" s="159" t="str" cm="1">
        <f t="array" ref="J280">INDEX(tbl_Ledger[Counterparty],ROWS($B$27:$B280))</f>
        <v>Executive Motors Ltd</v>
      </c>
      <c r="K280" s="160" t="str">
        <f>IF(COUNTIF(Dup_Exclusions,$E280)&gt;0,"No","Yes")</f>
        <v>Yes</v>
      </c>
      <c r="L280" s="161" t="str">
        <f>IF(AND($D280="",COUNTIF(NoInv_Exempt,$E280)=0),"Yes","No")</f>
        <v>No</v>
      </c>
      <c r="M280" s="161" t="str" cm="1">
        <f t="array" ref="M280">IF(AND($D280&lt;&gt;"",$K280="Yes"),IF(SUMPRODUCT((tbl_Ledger[Invoice Number]=$D280)*(COUNTIF(Dup_Exclusions,tbl_Ledger[Tax Category])=0))&gt;1,"Yes","No"),"No")</f>
        <v>No</v>
      </c>
      <c r="N280" s="161" t="str">
        <f>IF(ABS($G280-$H280)&gt;Tax_Tolerance,"Yes","No")</f>
        <v>No</v>
      </c>
      <c r="O280" s="161" t="str">
        <f>IF(OR(AND($F280="Inflow",LEFT($E280,LEN(Prefix_Outflow))=Prefix_Outflow),AND($F280="Outflow",LEFT($E280,LEN(Prefix_Inflow))=Prefix_Inflow)),"Yes","No")</f>
        <v>No</v>
      </c>
      <c r="P280" s="161" t="str" cm="1">
        <f t="array" ref="P280">IF(AND(COUNTIF(Suspect_Categories,$E280)&gt;0,SUMPRODUCT(--ISNUMBER(SEARCH(Suspect_Keywords,$I280&amp;" "&amp;$J280)))&gt;0),"Yes","No")</f>
        <v>No</v>
      </c>
      <c r="Q280" s="161" t="str">
        <f t="shared" si="1"/>
        <v>No</v>
      </c>
    </row>
    <row r="281" spans="1:17" x14ac:dyDescent="0.3">
      <c r="A281" s="11"/>
      <c r="B281" s="157" cm="1">
        <f t="array" ref="B281">INDEX(tbl_Ledger[Row ID],ROWS($B$27:$B281))</f>
        <v>255</v>
      </c>
      <c r="C281" s="158" cm="1">
        <f t="array" ref="C281">INDEX(tbl_Ledger[Date],ROWS($B$27:$B281))</f>
        <v>46230</v>
      </c>
      <c r="D281" s="157" t="str" cm="1">
        <f t="array" ref="D281">IF(INDEX(tbl_Ledger[Invoice Number],ROWS($B$27:$B281))="","",INDEX(tbl_Ledger[Invoice Number],ROWS($B$27:$B281)))</f>
        <v>SIN-2026-0105</v>
      </c>
      <c r="E281" s="157" t="str" cm="1">
        <f t="array" ref="E281">INDEX(tbl_Ledger[Tax Category],ROWS($B$27:$B281))</f>
        <v>IN_EXEMPT</v>
      </c>
      <c r="F281" s="157" t="str" cm="1">
        <f t="array" ref="F281">INDEX(tbl_Ledger[Direction],ROWS($B$27:$B281))</f>
        <v>Outflow</v>
      </c>
      <c r="G281" s="159" cm="1">
        <f t="array" ref="G281">INDEX(tbl_Ledger[Tax Charged on Invoice],ROWS($B$27:$B281))</f>
        <v>0</v>
      </c>
      <c r="H281" s="159" cm="1">
        <f t="array" ref="H281">INDEX(tbl_Ledger[Expected Total Tax],ROWS($B$27:$B281))</f>
        <v>0</v>
      </c>
      <c r="I281" s="159" t="str" cm="1">
        <f t="array" ref="I281">INDEX(tbl_Ledger[Description],ROWS($B$27:$B281))</f>
        <v>Diesel (AGO) purchased for own fleet use, 18,492 litres</v>
      </c>
      <c r="J281" s="159" t="str" cm="1">
        <f t="array" ref="J281">INDEX(tbl_Ledger[Counterparty],ROWS($B$27:$B281))</f>
        <v>Zenith Fuel Depot Ltd</v>
      </c>
      <c r="K281" s="160" t="str">
        <f>IF(COUNTIF(Dup_Exclusions,$E281)&gt;0,"No","Yes")</f>
        <v>Yes</v>
      </c>
      <c r="L281" s="161" t="str">
        <f>IF(AND($D281="",COUNTIF(NoInv_Exempt,$E281)=0),"Yes","No")</f>
        <v>No</v>
      </c>
      <c r="M281" s="161" t="str" cm="1">
        <f t="array" ref="M281">IF(AND($D281&lt;&gt;"",$K281="Yes"),IF(SUMPRODUCT((tbl_Ledger[Invoice Number]=$D281)*(COUNTIF(Dup_Exclusions,tbl_Ledger[Tax Category])=0))&gt;1,"Yes","No"),"No")</f>
        <v>No</v>
      </c>
      <c r="N281" s="161" t="str">
        <f>IF(ABS($G281-$H281)&gt;Tax_Tolerance,"Yes","No")</f>
        <v>No</v>
      </c>
      <c r="O281" s="161" t="str">
        <f>IF(OR(AND($F281="Inflow",LEFT($E281,LEN(Prefix_Outflow))=Prefix_Outflow),AND($F281="Outflow",LEFT($E281,LEN(Prefix_Inflow))=Prefix_Inflow)),"Yes","No")</f>
        <v>No</v>
      </c>
      <c r="P281" s="161" t="str" cm="1">
        <f t="array" ref="P281">IF(AND(COUNTIF(Suspect_Categories,$E281)&gt;0,SUMPRODUCT(--ISNUMBER(SEARCH(Suspect_Keywords,$I281&amp;" "&amp;$J281)))&gt;0),"Yes","No")</f>
        <v>No</v>
      </c>
      <c r="Q281" s="161" t="str">
        <f t="shared" si="1"/>
        <v>No</v>
      </c>
    </row>
    <row r="282" spans="1:17" x14ac:dyDescent="0.3">
      <c r="A282" s="11"/>
      <c r="B282" s="157" cm="1">
        <f t="array" ref="B282">INDEX(tbl_Ledger[Row ID],ROWS($B$27:$B282))</f>
        <v>256</v>
      </c>
      <c r="C282" s="158" cm="1">
        <f t="array" ref="C282">INDEX(tbl_Ledger[Date],ROWS($B$27:$B282))</f>
        <v>46231</v>
      </c>
      <c r="D282" s="157" t="str" cm="1">
        <f t="array" ref="D282">IF(INDEX(tbl_Ledger[Invoice Number],ROWS($B$27:$B282))="","",INDEX(tbl_Ledger[Invoice Number],ROWS($B$27:$B282)))</f>
        <v>SIN-2026-0106</v>
      </c>
      <c r="E282" s="157" t="str" cm="1">
        <f t="array" ref="E282">INDEX(tbl_Ledger[Tax Category],ROWS($B$27:$B282))</f>
        <v>IN_STD</v>
      </c>
      <c r="F282" s="157" t="str" cm="1">
        <f t="array" ref="F282">INDEX(tbl_Ledger[Direction],ROWS($B$27:$B282))</f>
        <v>Outflow</v>
      </c>
      <c r="G282" s="159" cm="1">
        <f t="array" ref="G282">INDEX(tbl_Ledger[Tax Charged on Invoice],ROWS($B$27:$B282))</f>
        <v>351</v>
      </c>
      <c r="H282" s="159" cm="1">
        <f t="array" ref="H282">INDEX(tbl_Ledger[Expected Total Tax],ROWS($B$27:$B282))</f>
        <v>351</v>
      </c>
      <c r="I282" s="159" t="str" cm="1">
        <f t="array" ref="I282">INDEX(tbl_Ledger[Description],ROWS($B$27:$B282))</f>
        <v>Office stationery and printing</v>
      </c>
      <c r="J282" s="159" t="str" cm="1">
        <f t="array" ref="J282">INDEX(tbl_Ledger[Counterparty],ROWS($B$27:$B282))</f>
        <v>Ashanti Truck Parts Ltd</v>
      </c>
      <c r="K282" s="160" t="str">
        <f>IF(COUNTIF(Dup_Exclusions,$E282)&gt;0,"No","Yes")</f>
        <v>Yes</v>
      </c>
      <c r="L282" s="161" t="str">
        <f>IF(AND($D282="",COUNTIF(NoInv_Exempt,$E282)=0),"Yes","No")</f>
        <v>No</v>
      </c>
      <c r="M282" s="161" t="str" cm="1">
        <f t="array" ref="M282">IF(AND($D282&lt;&gt;"",$K282="Yes"),IF(SUMPRODUCT((tbl_Ledger[Invoice Number]=$D282)*(COUNTIF(Dup_Exclusions,tbl_Ledger[Tax Category])=0))&gt;1,"Yes","No"),"No")</f>
        <v>No</v>
      </c>
      <c r="N282" s="161" t="str">
        <f>IF(ABS($G282-$H282)&gt;Tax_Tolerance,"Yes","No")</f>
        <v>No</v>
      </c>
      <c r="O282" s="161" t="str">
        <f>IF(OR(AND($F282="Inflow",LEFT($E282,LEN(Prefix_Outflow))=Prefix_Outflow),AND($F282="Outflow",LEFT($E282,LEN(Prefix_Inflow))=Prefix_Inflow)),"Yes","No")</f>
        <v>No</v>
      </c>
      <c r="P282" s="161" t="str" cm="1">
        <f t="array" ref="P282">IF(AND(COUNTIF(Suspect_Categories,$E282)&gt;0,SUMPRODUCT(--ISNUMBER(SEARCH(Suspect_Keywords,$I282&amp;" "&amp;$J282)))&gt;0),"Yes","No")</f>
        <v>No</v>
      </c>
      <c r="Q282" s="161" t="str">
        <f t="shared" si="1"/>
        <v>No</v>
      </c>
    </row>
    <row r="283" spans="1:17" x14ac:dyDescent="0.3">
      <c r="A283" s="11"/>
      <c r="B283" s="157" cm="1">
        <f t="array" ref="B283">INDEX(tbl_Ledger[Row ID],ROWS($B$27:$B283))</f>
        <v>257</v>
      </c>
      <c r="C283" s="158" cm="1">
        <f t="array" ref="C283">INDEX(tbl_Ledger[Date],ROWS($B$27:$B283))</f>
        <v>46232</v>
      </c>
      <c r="D283" s="157" t="str" cm="1">
        <f t="array" ref="D283">IF(INDEX(tbl_Ledger[Invoice Number],ROWS($B$27:$B283))="","",INDEX(tbl_Ledger[Invoice Number],ROWS($B$27:$B283)))</f>
        <v>SIN-2026-0107</v>
      </c>
      <c r="E283" s="157" t="str" cm="1">
        <f t="array" ref="E283">INDEX(tbl_Ledger[Tax Category],ROWS($B$27:$B283))</f>
        <v>IN_NONDED</v>
      </c>
      <c r="F283" s="157" t="str" cm="1">
        <f t="array" ref="F283">INDEX(tbl_Ledger[Direction],ROWS($B$27:$B283))</f>
        <v>Outflow</v>
      </c>
      <c r="G283" s="159" cm="1">
        <f t="array" ref="G283">INDEX(tbl_Ledger[Tax Charged on Invoice],ROWS($B$27:$B283))</f>
        <v>2241.1999999999998</v>
      </c>
      <c r="H283" s="159" cm="1">
        <f t="array" ref="H283">INDEX(tbl_Ledger[Expected Total Tax],ROWS($B$27:$B283))</f>
        <v>2241.1999999999998</v>
      </c>
      <c r="I283" s="159" t="str" cm="1">
        <f t="array" ref="I283">INDEX(tbl_Ledger[Description],ROWS($B$27:$B283))</f>
        <v>Client entertainment - business development</v>
      </c>
      <c r="J283" s="159" t="str" cm="1">
        <f t="array" ref="J283">INDEX(tbl_Ledger[Counterparty],ROWS($B$27:$B283))</f>
        <v>Executive Motors Ltd</v>
      </c>
      <c r="K283" s="160" t="str">
        <f>IF(COUNTIF(Dup_Exclusions,$E283)&gt;0,"No","Yes")</f>
        <v>Yes</v>
      </c>
      <c r="L283" s="161" t="str">
        <f>IF(AND($D283="",COUNTIF(NoInv_Exempt,$E283)=0),"Yes","No")</f>
        <v>No</v>
      </c>
      <c r="M283" s="161" t="str" cm="1">
        <f t="array" ref="M283">IF(AND($D283&lt;&gt;"",$K283="Yes"),IF(SUMPRODUCT((tbl_Ledger[Invoice Number]=$D283)*(COUNTIF(Dup_Exclusions,tbl_Ledger[Tax Category])=0))&gt;1,"Yes","No"),"No")</f>
        <v>No</v>
      </c>
      <c r="N283" s="161" t="str">
        <f>IF(ABS($G283-$H283)&gt;Tax_Tolerance,"Yes","No")</f>
        <v>No</v>
      </c>
      <c r="O283" s="161" t="str">
        <f>IF(OR(AND($F283="Inflow",LEFT($E283,LEN(Prefix_Outflow))=Prefix_Outflow),AND($F283="Outflow",LEFT($E283,LEN(Prefix_Inflow))=Prefix_Inflow)),"Yes","No")</f>
        <v>No</v>
      </c>
      <c r="P283" s="161" t="str" cm="1">
        <f t="array" ref="P283">IF(AND(COUNTIF(Suspect_Categories,$E283)&gt;0,SUMPRODUCT(--ISNUMBER(SEARCH(Suspect_Keywords,$I283&amp;" "&amp;$J283)))&gt;0),"Yes","No")</f>
        <v>No</v>
      </c>
      <c r="Q283" s="161" t="str">
        <f t="shared" ref="Q283:Q326" si="2">IF(COUNTIF($L283:$P283,"Yes")&gt;0,"Yes","No")</f>
        <v>No</v>
      </c>
    </row>
    <row r="284" spans="1:17" x14ac:dyDescent="0.3">
      <c r="A284" s="11"/>
      <c r="B284" s="157" cm="1">
        <f t="array" ref="B284">INDEX(tbl_Ledger[Row ID],ROWS($B$27:$B284))</f>
        <v>258</v>
      </c>
      <c r="C284" s="158" cm="1">
        <f t="array" ref="C284">INDEX(tbl_Ledger[Date],ROWS($B$27:$B284))</f>
        <v>46233</v>
      </c>
      <c r="D284" s="157" t="str" cm="1">
        <f t="array" ref="D284">IF(INDEX(tbl_Ledger[Invoice Number],ROWS($B$27:$B284))="","",INDEX(tbl_Ledger[Invoice Number],ROWS($B$27:$B284)))</f>
        <v>BNK-2026-0020</v>
      </c>
      <c r="E284" s="157" t="str" cm="1">
        <f t="array" ref="E284">INDEX(tbl_Ledger[Tax Category],ROWS($B$27:$B284))</f>
        <v>IN_EXEMPT</v>
      </c>
      <c r="F284" s="157" t="str" cm="1">
        <f t="array" ref="F284">INDEX(tbl_Ledger[Direction],ROWS($B$27:$B284))</f>
        <v>Outflow</v>
      </c>
      <c r="G284" s="159" cm="1">
        <f t="array" ref="G284">INDEX(tbl_Ledger[Tax Charged on Invoice],ROWS($B$27:$B284))</f>
        <v>0</v>
      </c>
      <c r="H284" s="159" cm="1">
        <f t="array" ref="H284">INDEX(tbl_Ledger[Expected Total Tax],ROWS($B$27:$B284))</f>
        <v>0</v>
      </c>
      <c r="I284" s="159" t="str" cm="1">
        <f t="array" ref="I284">INDEX(tbl_Ledger[Description],ROWS($B$27:$B284))</f>
        <v>Cheque book and facility fees</v>
      </c>
      <c r="J284" s="159" t="str" cm="1">
        <f t="array" ref="J284">INDEX(tbl_Ledger[Counterparty],ROWS($B$27:$B284))</f>
        <v>Trust Union Bank Ltd</v>
      </c>
      <c r="K284" s="160" t="str">
        <f>IF(COUNTIF(Dup_Exclusions,$E284)&gt;0,"No","Yes")</f>
        <v>Yes</v>
      </c>
      <c r="L284" s="161" t="str">
        <f>IF(AND($D284="",COUNTIF(NoInv_Exempt,$E284)=0),"Yes","No")</f>
        <v>No</v>
      </c>
      <c r="M284" s="161" t="str" cm="1">
        <f t="array" ref="M284">IF(AND($D284&lt;&gt;"",$K284="Yes"),IF(SUMPRODUCT((tbl_Ledger[Invoice Number]=$D284)*(COUNTIF(Dup_Exclusions,tbl_Ledger[Tax Category])=0))&gt;1,"Yes","No"),"No")</f>
        <v>No</v>
      </c>
      <c r="N284" s="161" t="str">
        <f>IF(ABS($G284-$H284)&gt;Tax_Tolerance,"Yes","No")</f>
        <v>No</v>
      </c>
      <c r="O284" s="161" t="str">
        <f>IF(OR(AND($F284="Inflow",LEFT($E284,LEN(Prefix_Outflow))=Prefix_Outflow),AND($F284="Outflow",LEFT($E284,LEN(Prefix_Inflow))=Prefix_Inflow)),"Yes","No")</f>
        <v>No</v>
      </c>
      <c r="P284" s="161" t="str" cm="1">
        <f t="array" ref="P284">IF(AND(COUNTIF(Suspect_Categories,$E284)&gt;0,SUMPRODUCT(--ISNUMBER(SEARCH(Suspect_Keywords,$I284&amp;" "&amp;$J284)))&gt;0),"Yes","No")</f>
        <v>No</v>
      </c>
      <c r="Q284" s="161" t="str">
        <f t="shared" si="2"/>
        <v>No</v>
      </c>
    </row>
    <row r="285" spans="1:17" x14ac:dyDescent="0.3">
      <c r="A285" s="11"/>
      <c r="B285" s="157" cm="1">
        <f t="array" ref="B285">INDEX(tbl_Ledger[Row ID],ROWS($B$27:$B285))</f>
        <v>259</v>
      </c>
      <c r="C285" s="158" cm="1">
        <f t="array" ref="C285">INDEX(tbl_Ledger[Date],ROWS($B$27:$B285))</f>
        <v>46233</v>
      </c>
      <c r="D285" s="157" t="str" cm="1">
        <f t="array" ref="D285">IF(INDEX(tbl_Ledger[Invoice Number],ROWS($B$27:$B285))="","",INDEX(tbl_Ledger[Invoice Number],ROWS($B$27:$B285)))</f>
        <v>NHL-2026-0096</v>
      </c>
      <c r="E285" s="157" t="str" cm="1">
        <f t="array" ref="E285">INDEX(tbl_Ledger[Tax Category],ROWS($B$27:$B285))</f>
        <v>VAT_WHT</v>
      </c>
      <c r="F285" s="157" t="str" cm="1">
        <f t="array" ref="F285">INDEX(tbl_Ledger[Direction],ROWS($B$27:$B285))</f>
        <v>Inflow</v>
      </c>
      <c r="G285" s="159" cm="1">
        <f t="array" ref="G285">INDEX(tbl_Ledger[Tax Charged on Invoice],ROWS($B$27:$B285))</f>
        <v>32267.8</v>
      </c>
      <c r="H285" s="159" cm="1">
        <f t="array" ref="H285">INDEX(tbl_Ledger[Expected Total Tax],ROWS($B$27:$B285))</f>
        <v>32267.799999999996</v>
      </c>
      <c r="I285" s="159" t="str" cm="1">
        <f t="array" ref="I285">INDEX(tbl_Ledger[Description],ROWS($B$27:$B285))</f>
        <v>Term haulage contract, ATK, Tema-Takoradi; customer is an appointed VAT withholding agent and retained 7%</v>
      </c>
      <c r="J285" s="159" t="str" cm="1">
        <f t="array" ref="J285">INDEX(tbl_Ledger[Counterparty],ROWS($B$27:$B285))</f>
        <v>Northern Star BDC Ltd</v>
      </c>
      <c r="K285" s="160" t="str">
        <f>IF(COUNTIF(Dup_Exclusions,$E285)&gt;0,"No","Yes")</f>
        <v>No</v>
      </c>
      <c r="L285" s="161" t="str">
        <f>IF(AND($D285="",COUNTIF(NoInv_Exempt,$E285)=0),"Yes","No")</f>
        <v>No</v>
      </c>
      <c r="M285" s="161" t="str" cm="1">
        <f t="array" ref="M285">IF(AND($D285&lt;&gt;"",$K285="Yes"),IF(SUMPRODUCT((tbl_Ledger[Invoice Number]=$D285)*(COUNTIF(Dup_Exclusions,tbl_Ledger[Tax Category])=0))&gt;1,"Yes","No"),"No")</f>
        <v>No</v>
      </c>
      <c r="N285" s="161" t="str">
        <f>IF(ABS($G285-$H285)&gt;Tax_Tolerance,"Yes","No")</f>
        <v>No</v>
      </c>
      <c r="O285" s="161" t="str">
        <f>IF(OR(AND($F285="Inflow",LEFT($E285,LEN(Prefix_Outflow))=Prefix_Outflow),AND($F285="Outflow",LEFT($E285,LEN(Prefix_Inflow))=Prefix_Inflow)),"Yes","No")</f>
        <v>No</v>
      </c>
      <c r="P285" s="161" t="str" cm="1">
        <f t="array" ref="P285">IF(AND(COUNTIF(Suspect_Categories,$E285)&gt;0,SUMPRODUCT(--ISNUMBER(SEARCH(Suspect_Keywords,$I285&amp;" "&amp;$J285)))&gt;0),"Yes","No")</f>
        <v>No</v>
      </c>
      <c r="Q285" s="161" t="str">
        <f t="shared" si="2"/>
        <v>No</v>
      </c>
    </row>
    <row r="286" spans="1:17" x14ac:dyDescent="0.3">
      <c r="A286" s="11"/>
      <c r="B286" s="157" cm="1">
        <f t="array" ref="B286">INDEX(tbl_Ledger[Row ID],ROWS($B$27:$B286))</f>
        <v>260</v>
      </c>
      <c r="C286" s="158" cm="1">
        <f t="array" ref="C286">INDEX(tbl_Ledger[Date],ROWS($B$27:$B286))</f>
        <v>46234</v>
      </c>
      <c r="D286" s="157" t="str" cm="1">
        <f t="array" ref="D286">IF(INDEX(tbl_Ledger[Invoice Number],ROWS($B$27:$B286))="","",INDEX(tbl_Ledger[Invoice Number],ROWS($B$27:$B286)))</f>
        <v>PAY-2026-0007</v>
      </c>
      <c r="E286" s="157" t="str" cm="1">
        <f t="array" ref="E286">INDEX(tbl_Ledger[Tax Category],ROWS($B$27:$B286))</f>
        <v>NO_VAT</v>
      </c>
      <c r="F286" s="157" t="str" cm="1">
        <f t="array" ref="F286">INDEX(tbl_Ledger[Direction],ROWS($B$27:$B286))</f>
        <v>Outflow</v>
      </c>
      <c r="G286" s="159" cm="1">
        <f t="array" ref="G286">INDEX(tbl_Ledger[Tax Charged on Invoice],ROWS($B$27:$B286))</f>
        <v>0</v>
      </c>
      <c r="H286" s="159" cm="1">
        <f t="array" ref="H286">INDEX(tbl_Ledger[Expected Total Tax],ROWS($B$27:$B286))</f>
        <v>0</v>
      </c>
      <c r="I286" s="159" t="str" cm="1">
        <f t="array" ref="I286">INDEX(tbl_Ledger[Description],ROWS($B$27:$B286))</f>
        <v>Staff salaries and wages - July</v>
      </c>
      <c r="J286" s="159" t="str" cm="1">
        <f t="array" ref="J286">INDEX(tbl_Ledger[Counterparty],ROWS($B$27:$B286))</f>
        <v>Nkabom Haulage Payroll</v>
      </c>
      <c r="K286" s="160" t="str">
        <f>IF(COUNTIF(Dup_Exclusions,$E286)&gt;0,"No","Yes")</f>
        <v>Yes</v>
      </c>
      <c r="L286" s="161" t="str">
        <f>IF(AND($D286="",COUNTIF(NoInv_Exempt,$E286)=0),"Yes","No")</f>
        <v>No</v>
      </c>
      <c r="M286" s="161" t="str" cm="1">
        <f t="array" ref="M286">IF(AND($D286&lt;&gt;"",$K286="Yes"),IF(SUMPRODUCT((tbl_Ledger[Invoice Number]=$D286)*(COUNTIF(Dup_Exclusions,tbl_Ledger[Tax Category])=0))&gt;1,"Yes","No"),"No")</f>
        <v>No</v>
      </c>
      <c r="N286" s="161" t="str">
        <f>IF(ABS($G286-$H286)&gt;Tax_Tolerance,"Yes","No")</f>
        <v>No</v>
      </c>
      <c r="O286" s="161" t="str">
        <f>IF(OR(AND($F286="Inflow",LEFT($E286,LEN(Prefix_Outflow))=Prefix_Outflow),AND($F286="Outflow",LEFT($E286,LEN(Prefix_Inflow))=Prefix_Inflow)),"Yes","No")</f>
        <v>No</v>
      </c>
      <c r="P286" s="161" t="str" cm="1">
        <f t="array" ref="P286">IF(AND(COUNTIF(Suspect_Categories,$E286)&gt;0,SUMPRODUCT(--ISNUMBER(SEARCH(Suspect_Keywords,$I286&amp;" "&amp;$J286)))&gt;0),"Yes","No")</f>
        <v>No</v>
      </c>
      <c r="Q286" s="161" t="str">
        <f t="shared" si="2"/>
        <v>No</v>
      </c>
    </row>
    <row r="287" spans="1:17" x14ac:dyDescent="0.3">
      <c r="A287" s="11"/>
      <c r="B287" s="157" cm="1">
        <f t="array" ref="B287">INDEX(tbl_Ledger[Row ID],ROWS($B$27:$B287))</f>
        <v>261</v>
      </c>
      <c r="C287" s="158" cm="1">
        <f t="array" ref="C287">INDEX(tbl_Ledger[Date],ROWS($B$27:$B287))</f>
        <v>46235</v>
      </c>
      <c r="D287" s="157" t="str" cm="1">
        <f t="array" ref="D287">IF(INDEX(tbl_Ledger[Invoice Number],ROWS($B$27:$B287))="","",INDEX(tbl_Ledger[Invoice Number],ROWS($B$27:$B287)))</f>
        <v>SIN-2026-0108</v>
      </c>
      <c r="E287" s="157" t="str" cm="1">
        <f t="array" ref="E287">INDEX(tbl_Ledger[Tax Category],ROWS($B$27:$B287))</f>
        <v>IN_EXEMPT</v>
      </c>
      <c r="F287" s="157" t="str" cm="1">
        <f t="array" ref="F287">INDEX(tbl_Ledger[Direction],ROWS($B$27:$B287))</f>
        <v>Outflow</v>
      </c>
      <c r="G287" s="159" cm="1">
        <f t="array" ref="G287">INDEX(tbl_Ledger[Tax Charged on Invoice],ROWS($B$27:$B287))</f>
        <v>0</v>
      </c>
      <c r="H287" s="159" cm="1">
        <f t="array" ref="H287">INDEX(tbl_Ledger[Expected Total Tax],ROWS($B$27:$B287))</f>
        <v>0</v>
      </c>
      <c r="I287" s="159" t="str" cm="1">
        <f t="array" ref="I287">INDEX(tbl_Ledger[Description],ROWS($B$27:$B287))</f>
        <v>Third-party liability cover premium</v>
      </c>
      <c r="J287" s="159" t="str" cm="1">
        <f t="array" ref="J287">INDEX(tbl_Ledger[Counterparty],ROWS($B$27:$B287))</f>
        <v>Unity Assurance Ltd</v>
      </c>
      <c r="K287" s="160" t="str">
        <f>IF(COUNTIF(Dup_Exclusions,$E287)&gt;0,"No","Yes")</f>
        <v>Yes</v>
      </c>
      <c r="L287" s="161" t="str">
        <f>IF(AND($D287="",COUNTIF(NoInv_Exempt,$E287)=0),"Yes","No")</f>
        <v>No</v>
      </c>
      <c r="M287" s="161" t="str" cm="1">
        <f t="array" ref="M287">IF(AND($D287&lt;&gt;"",$K287="Yes"),IF(SUMPRODUCT((tbl_Ledger[Invoice Number]=$D287)*(COUNTIF(Dup_Exclusions,tbl_Ledger[Tax Category])=0))&gt;1,"Yes","No"),"No")</f>
        <v>No</v>
      </c>
      <c r="N287" s="161" t="str">
        <f>IF(ABS($G287-$H287)&gt;Tax_Tolerance,"Yes","No")</f>
        <v>No</v>
      </c>
      <c r="O287" s="161" t="str">
        <f>IF(OR(AND($F287="Inflow",LEFT($E287,LEN(Prefix_Outflow))=Prefix_Outflow),AND($F287="Outflow",LEFT($E287,LEN(Prefix_Inflow))=Prefix_Inflow)),"Yes","No")</f>
        <v>No</v>
      </c>
      <c r="P287" s="161" t="str" cm="1">
        <f t="array" ref="P287">IF(AND(COUNTIF(Suspect_Categories,$E287)&gt;0,SUMPRODUCT(--ISNUMBER(SEARCH(Suspect_Keywords,$I287&amp;" "&amp;$J287)))&gt;0),"Yes","No")</f>
        <v>No</v>
      </c>
      <c r="Q287" s="161" t="str">
        <f t="shared" si="2"/>
        <v>No</v>
      </c>
    </row>
    <row r="288" spans="1:17" x14ac:dyDescent="0.3">
      <c r="A288" s="11"/>
      <c r="B288" s="157" cm="1">
        <f t="array" ref="B288">INDEX(tbl_Ledger[Row ID],ROWS($B$27:$B288))</f>
        <v>262</v>
      </c>
      <c r="C288" s="158" cm="1">
        <f t="array" ref="C288">INDEX(tbl_Ledger[Date],ROWS($B$27:$B288))</f>
        <v>46235</v>
      </c>
      <c r="D288" s="157" t="str" cm="1">
        <f t="array" ref="D288">IF(INDEX(tbl_Ledger[Invoice Number],ROWS($B$27:$B288))="","",INDEX(tbl_Ledger[Invoice Number],ROWS($B$27:$B288)))</f>
        <v>SIN-2026-0109</v>
      </c>
      <c r="E288" s="157" t="str" cm="1">
        <f t="array" ref="E288">INDEX(tbl_Ledger[Tax Category],ROWS($B$27:$B288))</f>
        <v>IN_NONDED</v>
      </c>
      <c r="F288" s="157" t="str" cm="1">
        <f t="array" ref="F288">INDEX(tbl_Ledger[Direction],ROWS($B$27:$B288))</f>
        <v>Outflow</v>
      </c>
      <c r="G288" s="159" cm="1">
        <f t="array" ref="G288">INDEX(tbl_Ledger[Tax Charged on Invoice],ROWS($B$27:$B288))</f>
        <v>564.20000000000005</v>
      </c>
      <c r="H288" s="159" cm="1">
        <f t="array" ref="H288">INDEX(tbl_Ledger[Expected Total Tax],ROWS($B$27:$B288))</f>
        <v>564.19999999999993</v>
      </c>
      <c r="I288" s="159" t="str" cm="1">
        <f t="array" ref="I288">INDEX(tbl_Ledger[Description],ROWS($B$27:$B288))</f>
        <v>Passenger vehicle running costs - management car</v>
      </c>
      <c r="J288" s="159" t="str" cm="1">
        <f t="array" ref="J288">INDEX(tbl_Ledger[Counterparty],ROWS($B$27:$B288))</f>
        <v>Labadi Grill House Ltd</v>
      </c>
      <c r="K288" s="160" t="str">
        <f>IF(COUNTIF(Dup_Exclusions,$E288)&gt;0,"No","Yes")</f>
        <v>Yes</v>
      </c>
      <c r="L288" s="161" t="str">
        <f>IF(AND($D288="",COUNTIF(NoInv_Exempt,$E288)=0),"Yes","No")</f>
        <v>No</v>
      </c>
      <c r="M288" s="161" t="str" cm="1">
        <f t="array" ref="M288">IF(AND($D288&lt;&gt;"",$K288="Yes"),IF(SUMPRODUCT((tbl_Ledger[Invoice Number]=$D288)*(COUNTIF(Dup_Exclusions,tbl_Ledger[Tax Category])=0))&gt;1,"Yes","No"),"No")</f>
        <v>No</v>
      </c>
      <c r="N288" s="161" t="str">
        <f>IF(ABS($G288-$H288)&gt;Tax_Tolerance,"Yes","No")</f>
        <v>No</v>
      </c>
      <c r="O288" s="161" t="str">
        <f>IF(OR(AND($F288="Inflow",LEFT($E288,LEN(Prefix_Outflow))=Prefix_Outflow),AND($F288="Outflow",LEFT($E288,LEN(Prefix_Inflow))=Prefix_Inflow)),"Yes","No")</f>
        <v>No</v>
      </c>
      <c r="P288" s="161" t="str" cm="1">
        <f t="array" ref="P288">IF(AND(COUNTIF(Suspect_Categories,$E288)&gt;0,SUMPRODUCT(--ISNUMBER(SEARCH(Suspect_Keywords,$I288&amp;" "&amp;$J288)))&gt;0),"Yes","No")</f>
        <v>No</v>
      </c>
      <c r="Q288" s="161" t="str">
        <f t="shared" si="2"/>
        <v>No</v>
      </c>
    </row>
    <row r="289" spans="1:17" x14ac:dyDescent="0.3">
      <c r="A289" s="11"/>
      <c r="B289" s="157" cm="1">
        <f t="array" ref="B289">INDEX(tbl_Ledger[Row ID],ROWS($B$27:$B289))</f>
        <v>263</v>
      </c>
      <c r="C289" s="158" cm="1">
        <f t="array" ref="C289">INDEX(tbl_Ledger[Date],ROWS($B$27:$B289))</f>
        <v>46235</v>
      </c>
      <c r="D289" s="157" t="str" cm="1">
        <f t="array" ref="D289">IF(INDEX(tbl_Ledger[Invoice Number],ROWS($B$27:$B289))="","",INDEX(tbl_Ledger[Invoice Number],ROWS($B$27:$B289)))</f>
        <v>NHL-2026-0097</v>
      </c>
      <c r="E289" s="157" t="str" cm="1">
        <f t="array" ref="E289">INDEX(tbl_Ledger[Tax Category],ROWS($B$27:$B289))</f>
        <v>VAT_WHT</v>
      </c>
      <c r="F289" s="157" t="str" cm="1">
        <f t="array" ref="F289">INDEX(tbl_Ledger[Direction],ROWS($B$27:$B289))</f>
        <v>Inflow</v>
      </c>
      <c r="G289" s="159" cm="1">
        <f t="array" ref="G289">INDEX(tbl_Ledger[Tax Charged on Invoice],ROWS($B$27:$B289))</f>
        <v>21920.799999999999</v>
      </c>
      <c r="H289" s="159" cm="1">
        <f t="array" ref="H289">INDEX(tbl_Ledger[Expected Total Tax],ROWS($B$27:$B289))</f>
        <v>21920.799999999996</v>
      </c>
      <c r="I289" s="159" t="str" cm="1">
        <f t="array" ref="I289">INDEX(tbl_Ledger[Description],ROWS($B$27:$B289))</f>
        <v>Term haulage contract, ATK, Takoradi-Tamale; customer is an appointed VAT withholding agent and retained 7%</v>
      </c>
      <c r="J289" s="159" t="str" cm="1">
        <f t="array" ref="J289">INDEX(tbl_Ledger[Counterparty],ROWS($B$27:$B289))</f>
        <v>Northern Star BDC Ltd</v>
      </c>
      <c r="K289" s="160" t="str">
        <f>IF(COUNTIF(Dup_Exclusions,$E289)&gt;0,"No","Yes")</f>
        <v>No</v>
      </c>
      <c r="L289" s="161" t="str">
        <f>IF(AND($D289="",COUNTIF(NoInv_Exempt,$E289)=0),"Yes","No")</f>
        <v>No</v>
      </c>
      <c r="M289" s="161" t="str" cm="1">
        <f t="array" ref="M289">IF(AND($D289&lt;&gt;"",$K289="Yes"),IF(SUMPRODUCT((tbl_Ledger[Invoice Number]=$D289)*(COUNTIF(Dup_Exclusions,tbl_Ledger[Tax Category])=0))&gt;1,"Yes","No"),"No")</f>
        <v>No</v>
      </c>
      <c r="N289" s="161" t="str">
        <f>IF(ABS($G289-$H289)&gt;Tax_Tolerance,"Yes","No")</f>
        <v>No</v>
      </c>
      <c r="O289" s="161" t="str">
        <f>IF(OR(AND($F289="Inflow",LEFT($E289,LEN(Prefix_Outflow))=Prefix_Outflow),AND($F289="Outflow",LEFT($E289,LEN(Prefix_Inflow))=Prefix_Inflow)),"Yes","No")</f>
        <v>No</v>
      </c>
      <c r="P289" s="161" t="str" cm="1">
        <f t="array" ref="P289">IF(AND(COUNTIF(Suspect_Categories,$E289)&gt;0,SUMPRODUCT(--ISNUMBER(SEARCH(Suspect_Keywords,$I289&amp;" "&amp;$J289)))&gt;0),"Yes","No")</f>
        <v>No</v>
      </c>
      <c r="Q289" s="161" t="str">
        <f t="shared" si="2"/>
        <v>No</v>
      </c>
    </row>
    <row r="290" spans="1:17" x14ac:dyDescent="0.3">
      <c r="A290" s="11"/>
      <c r="B290" s="157" cm="1">
        <f t="array" ref="B290">INDEX(tbl_Ledger[Row ID],ROWS($B$27:$B290))</f>
        <v>264</v>
      </c>
      <c r="C290" s="158" cm="1">
        <f t="array" ref="C290">INDEX(tbl_Ledger[Date],ROWS($B$27:$B290))</f>
        <v>46236</v>
      </c>
      <c r="D290" s="157" t="str" cm="1">
        <f t="array" ref="D290">IF(INDEX(tbl_Ledger[Invoice Number],ROWS($B$27:$B290))="","",INDEX(tbl_Ledger[Invoice Number],ROWS($B$27:$B290)))</f>
        <v>BNK-2026-0021</v>
      </c>
      <c r="E290" s="157" t="str" cm="1">
        <f t="array" ref="E290">INDEX(tbl_Ledger[Tax Category],ROWS($B$27:$B290))</f>
        <v>IN_EXEMPT</v>
      </c>
      <c r="F290" s="157" t="str" cm="1">
        <f t="array" ref="F290">INDEX(tbl_Ledger[Direction],ROWS($B$27:$B290))</f>
        <v>Outflow</v>
      </c>
      <c r="G290" s="159" cm="1">
        <f t="array" ref="G290">INDEX(tbl_Ledger[Tax Charged on Invoice],ROWS($B$27:$B290))</f>
        <v>0</v>
      </c>
      <c r="H290" s="159" cm="1">
        <f t="array" ref="H290">INDEX(tbl_Ledger[Expected Total Tax],ROWS($B$27:$B290))</f>
        <v>0</v>
      </c>
      <c r="I290" s="159" t="str" cm="1">
        <f t="array" ref="I290">INDEX(tbl_Ledger[Description],ROWS($B$27:$B290))</f>
        <v>Transfer and settlement charges</v>
      </c>
      <c r="J290" s="159" t="str" cm="1">
        <f t="array" ref="J290">INDEX(tbl_Ledger[Counterparty],ROWS($B$27:$B290))</f>
        <v>Trust Union Bank Ltd</v>
      </c>
      <c r="K290" s="160" t="str">
        <f>IF(COUNTIF(Dup_Exclusions,$E290)&gt;0,"No","Yes")</f>
        <v>Yes</v>
      </c>
      <c r="L290" s="161" t="str">
        <f>IF(AND($D290="",COUNTIF(NoInv_Exempt,$E290)=0),"Yes","No")</f>
        <v>No</v>
      </c>
      <c r="M290" s="161" t="str" cm="1">
        <f t="array" ref="M290">IF(AND($D290&lt;&gt;"",$K290="Yes"),IF(SUMPRODUCT((tbl_Ledger[Invoice Number]=$D290)*(COUNTIF(Dup_Exclusions,tbl_Ledger[Tax Category])=0))&gt;1,"Yes","No"),"No")</f>
        <v>No</v>
      </c>
      <c r="N290" s="161" t="str">
        <f>IF(ABS($G290-$H290)&gt;Tax_Tolerance,"Yes","No")</f>
        <v>No</v>
      </c>
      <c r="O290" s="161" t="str">
        <f>IF(OR(AND($F290="Inflow",LEFT($E290,LEN(Prefix_Outflow))=Prefix_Outflow),AND($F290="Outflow",LEFT($E290,LEN(Prefix_Inflow))=Prefix_Inflow)),"Yes","No")</f>
        <v>No</v>
      </c>
      <c r="P290" s="161" t="str" cm="1">
        <f t="array" ref="P290">IF(AND(COUNTIF(Suspect_Categories,$E290)&gt;0,SUMPRODUCT(--ISNUMBER(SEARCH(Suspect_Keywords,$I290&amp;" "&amp;$J290)))&gt;0),"Yes","No")</f>
        <v>No</v>
      </c>
      <c r="Q290" s="161" t="str">
        <f t="shared" si="2"/>
        <v>No</v>
      </c>
    </row>
    <row r="291" spans="1:17" x14ac:dyDescent="0.3">
      <c r="A291" s="11"/>
      <c r="B291" s="157" cm="1">
        <f t="array" ref="B291">INDEX(tbl_Ledger[Row ID],ROWS($B$27:$B291))</f>
        <v>265</v>
      </c>
      <c r="C291" s="158" cm="1">
        <f t="array" ref="C291">INDEX(tbl_Ledger[Date],ROWS($B$27:$B291))</f>
        <v>46236</v>
      </c>
      <c r="D291" s="157" t="str" cm="1">
        <f t="array" ref="D291">IF(INDEX(tbl_Ledger[Invoice Number],ROWS($B$27:$B291))="","",INDEX(tbl_Ledger[Invoice Number],ROWS($B$27:$B291)))</f>
        <v>NHL-2026-0098</v>
      </c>
      <c r="E291" s="157" t="str" cm="1">
        <f t="array" ref="E291">INDEX(tbl_Ledger[Tax Category],ROWS($B$27:$B291))</f>
        <v>WHT_SVC</v>
      </c>
      <c r="F291" s="157" t="str" cm="1">
        <f t="array" ref="F291">INDEX(tbl_Ledger[Direction],ROWS($B$27:$B291))</f>
        <v>Inflow</v>
      </c>
      <c r="G291" s="159" cm="1">
        <f t="array" ref="G291">INDEX(tbl_Ledger[Tax Charged on Invoice],ROWS($B$27:$B291))</f>
        <v>15787.4</v>
      </c>
      <c r="H291" s="159" cm="1">
        <f t="array" ref="H291">INDEX(tbl_Ledger[Expected Total Tax],ROWS($B$27:$B291))</f>
        <v>15787.399999999998</v>
      </c>
      <c r="I291" s="159" t="str" cm="1">
        <f t="array" ref="I291">INDEX(tbl_Ledger[Description],ROWS($B$27:$B291))</f>
        <v>Contract haulage of ATK, Takoradi-Wa; customer withheld income tax at 7.5% on the service fee</v>
      </c>
      <c r="J291" s="159" t="str" cm="1">
        <f t="array" ref="J291">INDEX(tbl_Ledger[Counterparty],ROWS($B$27:$B291))</f>
        <v>Volta Star Fuels Ltd</v>
      </c>
      <c r="K291" s="160" t="str">
        <f>IF(COUNTIF(Dup_Exclusions,$E291)&gt;0,"No","Yes")</f>
        <v>Yes</v>
      </c>
      <c r="L291" s="161" t="str">
        <f>IF(AND($D291="",COUNTIF(NoInv_Exempt,$E291)=0),"Yes","No")</f>
        <v>No</v>
      </c>
      <c r="M291" s="161" t="str" cm="1">
        <f t="array" ref="M291">IF(AND($D291&lt;&gt;"",$K291="Yes"),IF(SUMPRODUCT((tbl_Ledger[Invoice Number]=$D291)*(COUNTIF(Dup_Exclusions,tbl_Ledger[Tax Category])=0))&gt;1,"Yes","No"),"No")</f>
        <v>No</v>
      </c>
      <c r="N291" s="161" t="str">
        <f>IF(ABS($G291-$H291)&gt;Tax_Tolerance,"Yes","No")</f>
        <v>No</v>
      </c>
      <c r="O291" s="161" t="str">
        <f>IF(OR(AND($F291="Inflow",LEFT($E291,LEN(Prefix_Outflow))=Prefix_Outflow),AND($F291="Outflow",LEFT($E291,LEN(Prefix_Inflow))=Prefix_Inflow)),"Yes","No")</f>
        <v>No</v>
      </c>
      <c r="P291" s="161" t="str" cm="1">
        <f t="array" ref="P291">IF(AND(COUNTIF(Suspect_Categories,$E291)&gt;0,SUMPRODUCT(--ISNUMBER(SEARCH(Suspect_Keywords,$I291&amp;" "&amp;$J291)))&gt;0),"Yes","No")</f>
        <v>No</v>
      </c>
      <c r="Q291" s="161" t="str">
        <f t="shared" si="2"/>
        <v>No</v>
      </c>
    </row>
    <row r="292" spans="1:17" x14ac:dyDescent="0.3">
      <c r="A292" s="11"/>
      <c r="B292" s="157" cm="1">
        <f t="array" ref="B292">INDEX(tbl_Ledger[Row ID],ROWS($B$27:$B292))</f>
        <v>266</v>
      </c>
      <c r="C292" s="158" cm="1">
        <f t="array" ref="C292">INDEX(tbl_Ledger[Date],ROWS($B$27:$B292))</f>
        <v>46237</v>
      </c>
      <c r="D292" s="157" t="str" cm="1">
        <f t="array" ref="D292">IF(INDEX(tbl_Ledger[Invoice Number],ROWS($B$27:$B292))="","",INDEX(tbl_Ledger[Invoice Number],ROWS($B$27:$B292)))</f>
        <v>NHL-2026-0099</v>
      </c>
      <c r="E292" s="157" t="str" cm="1">
        <f t="array" ref="E292">INDEX(tbl_Ledger[Tax Category],ROWS($B$27:$B292))</f>
        <v>OUT_STD</v>
      </c>
      <c r="F292" s="157" t="str" cm="1">
        <f t="array" ref="F292">INDEX(tbl_Ledger[Direction],ROWS($B$27:$B292))</f>
        <v>Inflow</v>
      </c>
      <c r="G292" s="159" cm="1">
        <f t="array" ref="G292">INDEX(tbl_Ledger[Tax Charged on Invoice],ROWS($B$27:$B292))</f>
        <v>8567.6</v>
      </c>
      <c r="H292" s="159" cm="1">
        <f t="array" ref="H292">INDEX(tbl_Ledger[Expected Total Tax],ROWS($B$27:$B292))</f>
        <v>8567.6</v>
      </c>
      <c r="I292" s="159" t="str" cm="1">
        <f t="array" ref="I292">INDEX(tbl_Ledger[Description],ROWS($B$27:$B292))</f>
        <v>Bulk haulage of PMS, Tema-Takoradi, 5 trips</v>
      </c>
      <c r="J292" s="159" t="str" cm="1">
        <f t="array" ref="J292">INDEX(tbl_Ledger[Counterparty],ROWS($B$27:$B292))</f>
        <v>Volta Star Fuels Ltd</v>
      </c>
      <c r="K292" s="160" t="str">
        <f>IF(COUNTIF(Dup_Exclusions,$E292)&gt;0,"No","Yes")</f>
        <v>Yes</v>
      </c>
      <c r="L292" s="161" t="str">
        <f>IF(AND($D292="",COUNTIF(NoInv_Exempt,$E292)=0),"Yes","No")</f>
        <v>No</v>
      </c>
      <c r="M292" s="161" t="str" cm="1">
        <f t="array" ref="M292">IF(AND($D292&lt;&gt;"",$K292="Yes"),IF(SUMPRODUCT((tbl_Ledger[Invoice Number]=$D292)*(COUNTIF(Dup_Exclusions,tbl_Ledger[Tax Category])=0))&gt;1,"Yes","No"),"No")</f>
        <v>No</v>
      </c>
      <c r="N292" s="161" t="str">
        <f>IF(ABS($G292-$H292)&gt;Tax_Tolerance,"Yes","No")</f>
        <v>No</v>
      </c>
      <c r="O292" s="161" t="str">
        <f>IF(OR(AND($F292="Inflow",LEFT($E292,LEN(Prefix_Outflow))=Prefix_Outflow),AND($F292="Outflow",LEFT($E292,LEN(Prefix_Inflow))=Prefix_Inflow)),"Yes","No")</f>
        <v>No</v>
      </c>
      <c r="P292" s="161" t="str" cm="1">
        <f t="array" ref="P292">IF(AND(COUNTIF(Suspect_Categories,$E292)&gt;0,SUMPRODUCT(--ISNUMBER(SEARCH(Suspect_Keywords,$I292&amp;" "&amp;$J292)))&gt;0),"Yes","No")</f>
        <v>No</v>
      </c>
      <c r="Q292" s="161" t="str">
        <f t="shared" si="2"/>
        <v>No</v>
      </c>
    </row>
    <row r="293" spans="1:17" x14ac:dyDescent="0.3">
      <c r="A293" s="11"/>
      <c r="B293" s="157" cm="1">
        <f t="array" ref="B293">INDEX(tbl_Ledger[Row ID],ROWS($B$27:$B293))</f>
        <v>267</v>
      </c>
      <c r="C293" s="158" cm="1">
        <f t="array" ref="C293">INDEX(tbl_Ledger[Date],ROWS($B$27:$B293))</f>
        <v>46238</v>
      </c>
      <c r="D293" s="157" t="str" cm="1">
        <f t="array" ref="D293">IF(INDEX(tbl_Ledger[Invoice Number],ROWS($B$27:$B293))="","",INDEX(tbl_Ledger[Invoice Number],ROWS($B$27:$B293)))</f>
        <v>NHL-2026-0100</v>
      </c>
      <c r="E293" s="157" t="str" cm="1">
        <f t="array" ref="E293">INDEX(tbl_Ledger[Tax Category],ROWS($B$27:$B293))</f>
        <v>OUT_STD</v>
      </c>
      <c r="F293" s="157" t="str" cm="1">
        <f t="array" ref="F293">INDEX(tbl_Ledger[Direction],ROWS($B$27:$B293))</f>
        <v>Inflow</v>
      </c>
      <c r="G293" s="159" cm="1">
        <f t="array" ref="G293">INDEX(tbl_Ledger[Tax Charged on Invoice],ROWS($B$27:$B293))</f>
        <v>5938.6</v>
      </c>
      <c r="H293" s="159" cm="1">
        <f t="array" ref="H293">INDEX(tbl_Ledger[Expected Total Tax],ROWS($B$27:$B293))</f>
        <v>5938.5999999999995</v>
      </c>
      <c r="I293" s="159" t="str" cm="1">
        <f t="array" ref="I293">INDEX(tbl_Ledger[Description],ROWS($B$27:$B293))</f>
        <v>Bulk haulage of AGO, Takoradi-Tamale, 7 trips</v>
      </c>
      <c r="J293" s="159" t="str" cm="1">
        <f t="array" ref="J293">INDEX(tbl_Ledger[Counterparty],ROWS($B$27:$B293))</f>
        <v>Volta Star Fuels Ltd</v>
      </c>
      <c r="K293" s="160" t="str">
        <f>IF(COUNTIF(Dup_Exclusions,$E293)&gt;0,"No","Yes")</f>
        <v>Yes</v>
      </c>
      <c r="L293" s="161" t="str">
        <f>IF(AND($D293="",COUNTIF(NoInv_Exempt,$E293)=0),"Yes","No")</f>
        <v>No</v>
      </c>
      <c r="M293" s="161" t="str" cm="1">
        <f t="array" ref="M293">IF(AND($D293&lt;&gt;"",$K293="Yes"),IF(SUMPRODUCT((tbl_Ledger[Invoice Number]=$D293)*(COUNTIF(Dup_Exclusions,tbl_Ledger[Tax Category])=0))&gt;1,"Yes","No"),"No")</f>
        <v>No</v>
      </c>
      <c r="N293" s="161" t="str">
        <f>IF(ABS($G293-$H293)&gt;Tax_Tolerance,"Yes","No")</f>
        <v>No</v>
      </c>
      <c r="O293" s="161" t="str">
        <f>IF(OR(AND($F293="Inflow",LEFT($E293,LEN(Prefix_Outflow))=Prefix_Outflow),AND($F293="Outflow",LEFT($E293,LEN(Prefix_Inflow))=Prefix_Inflow)),"Yes","No")</f>
        <v>No</v>
      </c>
      <c r="P293" s="161" t="str" cm="1">
        <f t="array" ref="P293">IF(AND(COUNTIF(Suspect_Categories,$E293)&gt;0,SUMPRODUCT(--ISNUMBER(SEARCH(Suspect_Keywords,$I293&amp;" "&amp;$J293)))&gt;0),"Yes","No")</f>
        <v>No</v>
      </c>
      <c r="Q293" s="161" t="str">
        <f t="shared" si="2"/>
        <v>No</v>
      </c>
    </row>
    <row r="294" spans="1:17" x14ac:dyDescent="0.3">
      <c r="A294" s="11"/>
      <c r="B294" s="157" cm="1">
        <f t="array" ref="B294">INDEX(tbl_Ledger[Row ID],ROWS($B$27:$B294))</f>
        <v>268</v>
      </c>
      <c r="C294" s="158" cm="1">
        <f t="array" ref="C294">INDEX(tbl_Ledger[Date],ROWS($B$27:$B294))</f>
        <v>46239</v>
      </c>
      <c r="D294" s="157" t="str" cm="1">
        <f t="array" ref="D294">IF(INDEX(tbl_Ledger[Invoice Number],ROWS($B$27:$B294))="","",INDEX(tbl_Ledger[Invoice Number],ROWS($B$27:$B294)))</f>
        <v>JNL-2026-0010</v>
      </c>
      <c r="E294" s="157" t="str" cm="1">
        <f t="array" ref="E294">INDEX(tbl_Ledger[Tax Category],ROWS($B$27:$B294))</f>
        <v>NO_VAT</v>
      </c>
      <c r="F294" s="157" t="str" cm="1">
        <f t="array" ref="F294">INDEX(tbl_Ledger[Direction],ROWS($B$27:$B294))</f>
        <v>Outflow</v>
      </c>
      <c r="G294" s="159" cm="1">
        <f t="array" ref="G294">INDEX(tbl_Ledger[Tax Charged on Invoice],ROWS($B$27:$B294))</f>
        <v>0</v>
      </c>
      <c r="H294" s="159" cm="1">
        <f t="array" ref="H294">INDEX(tbl_Ledger[Expected Total Tax],ROWS($B$27:$B294))</f>
        <v>0</v>
      </c>
      <c r="I294" s="159" t="str" cm="1">
        <f t="array" ref="I294">INDEX(tbl_Ledger[Description],ROWS($B$27:$B294))</f>
        <v>Withholding tax remitted to GRA</v>
      </c>
      <c r="J294" s="159" t="str" cm="1">
        <f t="array" ref="J294">INDEX(tbl_Ledger[Counterparty],ROWS($B$27:$B294))</f>
        <v>Ghana Revenue Authority</v>
      </c>
      <c r="K294" s="160" t="str">
        <f>IF(COUNTIF(Dup_Exclusions,$E294)&gt;0,"No","Yes")</f>
        <v>Yes</v>
      </c>
      <c r="L294" s="161" t="str">
        <f>IF(AND($D294="",COUNTIF(NoInv_Exempt,$E294)=0),"Yes","No")</f>
        <v>No</v>
      </c>
      <c r="M294" s="161" t="str" cm="1">
        <f t="array" ref="M294">IF(AND($D294&lt;&gt;"",$K294="Yes"),IF(SUMPRODUCT((tbl_Ledger[Invoice Number]=$D294)*(COUNTIF(Dup_Exclusions,tbl_Ledger[Tax Category])=0))&gt;1,"Yes","No"),"No")</f>
        <v>No</v>
      </c>
      <c r="N294" s="161" t="str">
        <f>IF(ABS($G294-$H294)&gt;Tax_Tolerance,"Yes","No")</f>
        <v>No</v>
      </c>
      <c r="O294" s="161" t="str">
        <f>IF(OR(AND($F294="Inflow",LEFT($E294,LEN(Prefix_Outflow))=Prefix_Outflow),AND($F294="Outflow",LEFT($E294,LEN(Prefix_Inflow))=Prefix_Inflow)),"Yes","No")</f>
        <v>No</v>
      </c>
      <c r="P294" s="161" t="str" cm="1">
        <f t="array" ref="P294">IF(AND(COUNTIF(Suspect_Categories,$E294)&gt;0,SUMPRODUCT(--ISNUMBER(SEARCH(Suspect_Keywords,$I294&amp;" "&amp;$J294)))&gt;0),"Yes","No")</f>
        <v>No</v>
      </c>
      <c r="Q294" s="161" t="str">
        <f t="shared" si="2"/>
        <v>No</v>
      </c>
    </row>
    <row r="295" spans="1:17" x14ac:dyDescent="0.3">
      <c r="A295" s="11"/>
      <c r="B295" s="157" cm="1">
        <f t="array" ref="B295">INDEX(tbl_Ledger[Row ID],ROWS($B$27:$B295))</f>
        <v>269</v>
      </c>
      <c r="C295" s="158" cm="1">
        <f t="array" ref="C295">INDEX(tbl_Ledger[Date],ROWS($B$27:$B295))</f>
        <v>46240</v>
      </c>
      <c r="D295" s="157" t="str" cm="1">
        <f t="array" ref="D295">IF(INDEX(tbl_Ledger[Invoice Number],ROWS($B$27:$B295))="","",INDEX(tbl_Ledger[Invoice Number],ROWS($B$27:$B295)))</f>
        <v>NHL-2026-0101</v>
      </c>
      <c r="E295" s="157" t="str" cm="1">
        <f t="array" ref="E295">INDEX(tbl_Ledger[Tax Category],ROWS($B$27:$B295))</f>
        <v>OUT_STD</v>
      </c>
      <c r="F295" s="157" t="str" cm="1">
        <f t="array" ref="F295">INDEX(tbl_Ledger[Direction],ROWS($B$27:$B295))</f>
        <v>Inflow</v>
      </c>
      <c r="G295" s="159" cm="1">
        <f t="array" ref="G295">INDEX(tbl_Ledger[Tax Charged on Invoice],ROWS($B$27:$B295))</f>
        <v>16085.4</v>
      </c>
      <c r="H295" s="159" cm="1">
        <f t="array" ref="H295">INDEX(tbl_Ledger[Expected Total Tax],ROWS($B$27:$B295))</f>
        <v>16085.399999999998</v>
      </c>
      <c r="I295" s="159" t="str" cm="1">
        <f t="array" ref="I295">INDEX(tbl_Ledger[Description],ROWS($B$27:$B295))</f>
        <v>Bulk haulage of PMS, Tema-Cape Coast, 8 trips</v>
      </c>
      <c r="J295" s="159" t="str" cm="1">
        <f t="array" ref="J295">INDEX(tbl_Ledger[Counterparty],ROWS($B$27:$B295))</f>
        <v>Northern Star BDC Ltd</v>
      </c>
      <c r="K295" s="160" t="str">
        <f>IF(COUNTIF(Dup_Exclusions,$E295)&gt;0,"No","Yes")</f>
        <v>Yes</v>
      </c>
      <c r="L295" s="161" t="str">
        <f>IF(AND($D295="",COUNTIF(NoInv_Exempt,$E295)=0),"Yes","No")</f>
        <v>No</v>
      </c>
      <c r="M295" s="161" t="str" cm="1">
        <f t="array" ref="M295">IF(AND($D295&lt;&gt;"",$K295="Yes"),IF(SUMPRODUCT((tbl_Ledger[Invoice Number]=$D295)*(COUNTIF(Dup_Exclusions,tbl_Ledger[Tax Category])=0))&gt;1,"Yes","No"),"No")</f>
        <v>No</v>
      </c>
      <c r="N295" s="161" t="str">
        <f>IF(ABS($G295-$H295)&gt;Tax_Tolerance,"Yes","No")</f>
        <v>No</v>
      </c>
      <c r="O295" s="161" t="str">
        <f>IF(OR(AND($F295="Inflow",LEFT($E295,LEN(Prefix_Outflow))=Prefix_Outflow),AND($F295="Outflow",LEFT($E295,LEN(Prefix_Inflow))=Prefix_Inflow)),"Yes","No")</f>
        <v>No</v>
      </c>
      <c r="P295" s="161" t="str" cm="1">
        <f t="array" ref="P295">IF(AND(COUNTIF(Suspect_Categories,$E295)&gt;0,SUMPRODUCT(--ISNUMBER(SEARCH(Suspect_Keywords,$I295&amp;" "&amp;$J295)))&gt;0),"Yes","No")</f>
        <v>No</v>
      </c>
      <c r="Q295" s="161" t="str">
        <f t="shared" si="2"/>
        <v>No</v>
      </c>
    </row>
    <row r="296" spans="1:17" x14ac:dyDescent="0.3">
      <c r="A296" s="11"/>
      <c r="B296" s="157" cm="1">
        <f t="array" ref="B296">INDEX(tbl_Ledger[Row ID],ROWS($B$27:$B296))</f>
        <v>270</v>
      </c>
      <c r="C296" s="158" cm="1">
        <f t="array" ref="C296">INDEX(tbl_Ledger[Date],ROWS($B$27:$B296))</f>
        <v>46240</v>
      </c>
      <c r="D296" s="157" t="str" cm="1">
        <f t="array" ref="D296">IF(INDEX(tbl_Ledger[Invoice Number],ROWS($B$27:$B296))="","",INDEX(tbl_Ledger[Invoice Number],ROWS($B$27:$B296)))</f>
        <v>NHL-2026-0102</v>
      </c>
      <c r="E296" s="157" t="str" cm="1">
        <f t="array" ref="E296">INDEX(tbl_Ledger[Tax Category],ROWS($B$27:$B296))</f>
        <v>WHT_SVC</v>
      </c>
      <c r="F296" s="157" t="str" cm="1">
        <f t="array" ref="F296">INDEX(tbl_Ledger[Direction],ROWS($B$27:$B296))</f>
        <v>Inflow</v>
      </c>
      <c r="G296" s="159" cm="1">
        <f t="array" ref="G296">INDEX(tbl_Ledger[Tax Charged on Invoice],ROWS($B$27:$B296))</f>
        <v>7789.2</v>
      </c>
      <c r="H296" s="159" cm="1">
        <f t="array" ref="H296">INDEX(tbl_Ledger[Expected Total Tax],ROWS($B$27:$B296))</f>
        <v>7789.1999999999989</v>
      </c>
      <c r="I296" s="159" t="str" cm="1">
        <f t="array" ref="I296">INDEX(tbl_Ledger[Description],ROWS($B$27:$B296))</f>
        <v>Contract haulage of PMS, Tema-Kumasi; customer withheld income tax at 7.5% on the service fee</v>
      </c>
      <c r="J296" s="159" t="str" cm="1">
        <f t="array" ref="J296">INDEX(tbl_Ledger[Counterparty],ROWS($B$27:$B296))</f>
        <v>Northern Star BDC Ltd</v>
      </c>
      <c r="K296" s="160" t="str">
        <f>IF(COUNTIF(Dup_Exclusions,$E296)&gt;0,"No","Yes")</f>
        <v>Yes</v>
      </c>
      <c r="L296" s="161" t="str">
        <f>IF(AND($D296="",COUNTIF(NoInv_Exempt,$E296)=0),"Yes","No")</f>
        <v>No</v>
      </c>
      <c r="M296" s="161" t="str" cm="1">
        <f t="array" ref="M296">IF(AND($D296&lt;&gt;"",$K296="Yes"),IF(SUMPRODUCT((tbl_Ledger[Invoice Number]=$D296)*(COUNTIF(Dup_Exclusions,tbl_Ledger[Tax Category])=0))&gt;1,"Yes","No"),"No")</f>
        <v>No</v>
      </c>
      <c r="N296" s="161" t="str">
        <f>IF(ABS($G296-$H296)&gt;Tax_Tolerance,"Yes","No")</f>
        <v>No</v>
      </c>
      <c r="O296" s="161" t="str">
        <f>IF(OR(AND($F296="Inflow",LEFT($E296,LEN(Prefix_Outflow))=Prefix_Outflow),AND($F296="Outflow",LEFT($E296,LEN(Prefix_Inflow))=Prefix_Inflow)),"Yes","No")</f>
        <v>No</v>
      </c>
      <c r="P296" s="161" t="str" cm="1">
        <f t="array" ref="P296">IF(AND(COUNTIF(Suspect_Categories,$E296)&gt;0,SUMPRODUCT(--ISNUMBER(SEARCH(Suspect_Keywords,$I296&amp;" "&amp;$J296)))&gt;0),"Yes","No")</f>
        <v>No</v>
      </c>
      <c r="Q296" s="161" t="str">
        <f t="shared" si="2"/>
        <v>No</v>
      </c>
    </row>
    <row r="297" spans="1:17" x14ac:dyDescent="0.3">
      <c r="A297" s="11"/>
      <c r="B297" s="157" cm="1">
        <f t="array" ref="B297">INDEX(tbl_Ledger[Row ID],ROWS($B$27:$B297))</f>
        <v>271</v>
      </c>
      <c r="C297" s="158" cm="1">
        <f t="array" ref="C297">INDEX(tbl_Ledger[Date],ROWS($B$27:$B297))</f>
        <v>46241</v>
      </c>
      <c r="D297" s="157" t="str" cm="1">
        <f t="array" ref="D297">IF(INDEX(tbl_Ledger[Invoice Number],ROWS($B$27:$B297))="","",INDEX(tbl_Ledger[Invoice Number],ROWS($B$27:$B297)))</f>
        <v>SIN-2026-0110</v>
      </c>
      <c r="E297" s="157" t="str" cm="1">
        <f t="array" ref="E297">INDEX(tbl_Ledger[Tax Category],ROWS($B$27:$B297))</f>
        <v>IN_EXEMPT</v>
      </c>
      <c r="F297" s="157" t="str" cm="1">
        <f t="array" ref="F297">INDEX(tbl_Ledger[Direction],ROWS($B$27:$B297))</f>
        <v>Outflow</v>
      </c>
      <c r="G297" s="159" cm="1">
        <f t="array" ref="G297">INDEX(tbl_Ledger[Tax Charged on Invoice],ROWS($B$27:$B297))</f>
        <v>0</v>
      </c>
      <c r="H297" s="159" cm="1">
        <f t="array" ref="H297">INDEX(tbl_Ledger[Expected Total Tax],ROWS($B$27:$B297))</f>
        <v>0</v>
      </c>
      <c r="I297" s="159" t="str" cm="1">
        <f t="array" ref="I297">INDEX(tbl_Ledger[Description],ROWS($B$27:$B297))</f>
        <v>Diesel (AGO) purchased for own fleet use, 23,485 litres</v>
      </c>
      <c r="J297" s="159" t="str" cm="1">
        <f t="array" ref="J297">INDEX(tbl_Ledger[Counterparty],ROWS($B$27:$B297))</f>
        <v>Zenith Fuel Depot Ltd</v>
      </c>
      <c r="K297" s="160" t="str">
        <f>IF(COUNTIF(Dup_Exclusions,$E297)&gt;0,"No","Yes")</f>
        <v>Yes</v>
      </c>
      <c r="L297" s="161" t="str">
        <f>IF(AND($D297="",COUNTIF(NoInv_Exempt,$E297)=0),"Yes","No")</f>
        <v>No</v>
      </c>
      <c r="M297" s="161" t="str" cm="1">
        <f t="array" ref="M297">IF(AND($D297&lt;&gt;"",$K297="Yes"),IF(SUMPRODUCT((tbl_Ledger[Invoice Number]=$D297)*(COUNTIF(Dup_Exclusions,tbl_Ledger[Tax Category])=0))&gt;1,"Yes","No"),"No")</f>
        <v>No</v>
      </c>
      <c r="N297" s="161" t="str">
        <f>IF(ABS($G297-$H297)&gt;Tax_Tolerance,"Yes","No")</f>
        <v>No</v>
      </c>
      <c r="O297" s="161" t="str">
        <f>IF(OR(AND($F297="Inflow",LEFT($E297,LEN(Prefix_Outflow))=Prefix_Outflow),AND($F297="Outflow",LEFT($E297,LEN(Prefix_Inflow))=Prefix_Inflow)),"Yes","No")</f>
        <v>No</v>
      </c>
      <c r="P297" s="161" t="str" cm="1">
        <f t="array" ref="P297">IF(AND(COUNTIF(Suspect_Categories,$E297)&gt;0,SUMPRODUCT(--ISNUMBER(SEARCH(Suspect_Keywords,$I297&amp;" "&amp;$J297)))&gt;0),"Yes","No")</f>
        <v>No</v>
      </c>
      <c r="Q297" s="161" t="str">
        <f t="shared" si="2"/>
        <v>No</v>
      </c>
    </row>
    <row r="298" spans="1:17" x14ac:dyDescent="0.3">
      <c r="A298" s="11"/>
      <c r="B298" s="157" cm="1">
        <f t="array" ref="B298">INDEX(tbl_Ledger[Row ID],ROWS($B$27:$B298))</f>
        <v>272</v>
      </c>
      <c r="C298" s="158" cm="1">
        <f t="array" ref="C298">INDEX(tbl_Ledger[Date],ROWS($B$27:$B298))</f>
        <v>46244</v>
      </c>
      <c r="D298" s="157" t="str" cm="1">
        <f t="array" ref="D298">IF(INDEX(tbl_Ledger[Invoice Number],ROWS($B$27:$B298))="","",INDEX(tbl_Ledger[Invoice Number],ROWS($B$27:$B298)))</f>
        <v>SIN-2026-0111</v>
      </c>
      <c r="E298" s="157" t="str" cm="1">
        <f t="array" ref="E298">INDEX(tbl_Ledger[Tax Category],ROWS($B$27:$B298))</f>
        <v>IN_STD</v>
      </c>
      <c r="F298" s="157" t="str" cm="1">
        <f t="array" ref="F298">INDEX(tbl_Ledger[Direction],ROWS($B$27:$B298))</f>
        <v>Outflow</v>
      </c>
      <c r="G298" s="159" cm="1">
        <f t="array" ref="G298">INDEX(tbl_Ledger[Tax Charged on Invoice],ROWS($B$27:$B298))</f>
        <v>481</v>
      </c>
      <c r="H298" s="159" cm="1">
        <f t="array" ref="H298">INDEX(tbl_Ledger[Expected Total Tax],ROWS($B$27:$B298))</f>
        <v>481</v>
      </c>
      <c r="I298" s="159" t="str" cm="1">
        <f t="array" ref="I298">INDEX(tbl_Ledger[Description],ROWS($B$27:$B298))</f>
        <v>Office stationery and printing</v>
      </c>
      <c r="J298" s="159" t="str" cm="1">
        <f t="array" ref="J298">INDEX(tbl_Ledger[Counterparty],ROWS($B$27:$B298))</f>
        <v>Ashanti Truck Parts Ltd</v>
      </c>
      <c r="K298" s="160" t="str">
        <f>IF(COUNTIF(Dup_Exclusions,$E298)&gt;0,"No","Yes")</f>
        <v>Yes</v>
      </c>
      <c r="L298" s="161" t="str">
        <f>IF(AND($D298="",COUNTIF(NoInv_Exempt,$E298)=0),"Yes","No")</f>
        <v>No</v>
      </c>
      <c r="M298" s="161" t="str" cm="1">
        <f t="array" ref="M298">IF(AND($D298&lt;&gt;"",$K298="Yes"),IF(SUMPRODUCT((tbl_Ledger[Invoice Number]=$D298)*(COUNTIF(Dup_Exclusions,tbl_Ledger[Tax Category])=0))&gt;1,"Yes","No"),"No")</f>
        <v>No</v>
      </c>
      <c r="N298" s="161" t="str">
        <f>IF(ABS($G298-$H298)&gt;Tax_Tolerance,"Yes","No")</f>
        <v>No</v>
      </c>
      <c r="O298" s="161" t="str">
        <f>IF(OR(AND($F298="Inflow",LEFT($E298,LEN(Prefix_Outflow))=Prefix_Outflow),AND($F298="Outflow",LEFT($E298,LEN(Prefix_Inflow))=Prefix_Inflow)),"Yes","No")</f>
        <v>No</v>
      </c>
      <c r="P298" s="161" t="str" cm="1">
        <f t="array" ref="P298">IF(AND(COUNTIF(Suspect_Categories,$E298)&gt;0,SUMPRODUCT(--ISNUMBER(SEARCH(Suspect_Keywords,$I298&amp;" "&amp;$J298)))&gt;0),"Yes","No")</f>
        <v>No</v>
      </c>
      <c r="Q298" s="161" t="str">
        <f t="shared" si="2"/>
        <v>No</v>
      </c>
    </row>
    <row r="299" spans="1:17" x14ac:dyDescent="0.3">
      <c r="A299" s="11"/>
      <c r="B299" s="157" cm="1">
        <f t="array" ref="B299">INDEX(tbl_Ledger[Row ID],ROWS($B$27:$B299))</f>
        <v>273</v>
      </c>
      <c r="C299" s="158" cm="1">
        <f t="array" ref="C299">INDEX(tbl_Ledger[Date],ROWS($B$27:$B299))</f>
        <v>46244</v>
      </c>
      <c r="D299" s="157" t="str" cm="1">
        <f t="array" ref="D299">IF(INDEX(tbl_Ledger[Invoice Number],ROWS($B$27:$B299))="","",INDEX(tbl_Ledger[Invoice Number],ROWS($B$27:$B299)))</f>
        <v>SIN-2026-0112</v>
      </c>
      <c r="E299" s="157" t="str" cm="1">
        <f t="array" ref="E299">INDEX(tbl_Ledger[Tax Category],ROWS($B$27:$B299))</f>
        <v>IN_STD</v>
      </c>
      <c r="F299" s="157" t="str" cm="1">
        <f t="array" ref="F299">INDEX(tbl_Ledger[Direction],ROWS($B$27:$B299))</f>
        <v>Outflow</v>
      </c>
      <c r="G299" s="159" cm="1">
        <f t="array" ref="G299">INDEX(tbl_Ledger[Tax Charged on Invoice],ROWS($B$27:$B299))</f>
        <v>2019.4</v>
      </c>
      <c r="H299" s="159" cm="1">
        <f t="array" ref="H299">INDEX(tbl_Ledger[Expected Total Tax],ROWS($B$27:$B299))</f>
        <v>2019.3999999999999</v>
      </c>
      <c r="I299" s="159" t="str" cm="1">
        <f t="array" ref="I299">INDEX(tbl_Ledger[Description],ROWS($B$27:$B299))</f>
        <v>Fleet servicing and workshop labour</v>
      </c>
      <c r="J299" s="159" t="str" cm="1">
        <f t="array" ref="J299">INDEX(tbl_Ledger[Counterparty],ROWS($B$27:$B299))</f>
        <v>Kumasi Tyre Centre Ltd</v>
      </c>
      <c r="K299" s="160" t="str">
        <f>IF(COUNTIF(Dup_Exclusions,$E299)&gt;0,"No","Yes")</f>
        <v>Yes</v>
      </c>
      <c r="L299" s="161" t="str">
        <f>IF(AND($D299="",COUNTIF(NoInv_Exempt,$E299)=0),"Yes","No")</f>
        <v>No</v>
      </c>
      <c r="M299" s="161" t="str" cm="1">
        <f t="array" ref="M299">IF(AND($D299&lt;&gt;"",$K299="Yes"),IF(SUMPRODUCT((tbl_Ledger[Invoice Number]=$D299)*(COUNTIF(Dup_Exclusions,tbl_Ledger[Tax Category])=0))&gt;1,"Yes","No"),"No")</f>
        <v>No</v>
      </c>
      <c r="N299" s="161" t="str">
        <f>IF(ABS($G299-$H299)&gt;Tax_Tolerance,"Yes","No")</f>
        <v>No</v>
      </c>
      <c r="O299" s="161" t="str">
        <f>IF(OR(AND($F299="Inflow",LEFT($E299,LEN(Prefix_Outflow))=Prefix_Outflow),AND($F299="Outflow",LEFT($E299,LEN(Prefix_Inflow))=Prefix_Inflow)),"Yes","No")</f>
        <v>No</v>
      </c>
      <c r="P299" s="161" t="str" cm="1">
        <f t="array" ref="P299">IF(AND(COUNTIF(Suspect_Categories,$E299)&gt;0,SUMPRODUCT(--ISNUMBER(SEARCH(Suspect_Keywords,$I299&amp;" "&amp;$J299)))&gt;0),"Yes","No")</f>
        <v>No</v>
      </c>
      <c r="Q299" s="161" t="str">
        <f t="shared" si="2"/>
        <v>No</v>
      </c>
    </row>
    <row r="300" spans="1:17" x14ac:dyDescent="0.3">
      <c r="A300" s="11"/>
      <c r="B300" s="157" cm="1">
        <f t="array" ref="B300">INDEX(tbl_Ledger[Row ID],ROWS($B$27:$B300))</f>
        <v>274</v>
      </c>
      <c r="C300" s="158" cm="1">
        <f t="array" ref="C300">INDEX(tbl_Ledger[Date],ROWS($B$27:$B300))</f>
        <v>46244</v>
      </c>
      <c r="D300" s="157" t="str" cm="1">
        <f t="array" ref="D300">IF(INDEX(tbl_Ledger[Invoice Number],ROWS($B$27:$B300))="","",INDEX(tbl_Ledger[Invoice Number],ROWS($B$27:$B300)))</f>
        <v>SIN-2026-0113</v>
      </c>
      <c r="E300" s="157" t="str" cm="1">
        <f t="array" ref="E300">INDEX(tbl_Ledger[Tax Category],ROWS($B$27:$B300))</f>
        <v>IN_STD</v>
      </c>
      <c r="F300" s="157" t="str" cm="1">
        <f t="array" ref="F300">INDEX(tbl_Ledger[Direction],ROWS($B$27:$B300))</f>
        <v>Outflow</v>
      </c>
      <c r="G300" s="159" cm="1">
        <f t="array" ref="G300">INDEX(tbl_Ledger[Tax Charged on Invoice],ROWS($B$27:$B300))</f>
        <v>1003</v>
      </c>
      <c r="H300" s="159" cm="1">
        <f t="array" ref="H300">INDEX(tbl_Ledger[Expected Total Tax],ROWS($B$27:$B300))</f>
        <v>1003</v>
      </c>
      <c r="I300" s="159" t="str" cm="1">
        <f t="array" ref="I300">INDEX(tbl_Ledger[Description],ROWS($B$27:$B300))</f>
        <v>Fleet tracking software subscription</v>
      </c>
      <c r="J300" s="159" t="str" cm="1">
        <f t="array" ref="J300">INDEX(tbl_Ledger[Counterparty],ROWS($B$27:$B300))</f>
        <v>Sahara Fleet Services Ltd</v>
      </c>
      <c r="K300" s="160" t="str">
        <f>IF(COUNTIF(Dup_Exclusions,$E300)&gt;0,"No","Yes")</f>
        <v>Yes</v>
      </c>
      <c r="L300" s="161" t="str">
        <f>IF(AND($D300="",COUNTIF(NoInv_Exempt,$E300)=0),"Yes","No")</f>
        <v>No</v>
      </c>
      <c r="M300" s="161" t="str" cm="1">
        <f t="array" ref="M300">IF(AND($D300&lt;&gt;"",$K300="Yes"),IF(SUMPRODUCT((tbl_Ledger[Invoice Number]=$D300)*(COUNTIF(Dup_Exclusions,tbl_Ledger[Tax Category])=0))&gt;1,"Yes","No"),"No")</f>
        <v>No</v>
      </c>
      <c r="N300" s="161" t="str">
        <f>IF(ABS($G300-$H300)&gt;Tax_Tolerance,"Yes","No")</f>
        <v>No</v>
      </c>
      <c r="O300" s="161" t="str">
        <f>IF(OR(AND($F300="Inflow",LEFT($E300,LEN(Prefix_Outflow))=Prefix_Outflow),AND($F300="Outflow",LEFT($E300,LEN(Prefix_Inflow))=Prefix_Inflow)),"Yes","No")</f>
        <v>No</v>
      </c>
      <c r="P300" s="161" t="str" cm="1">
        <f t="array" ref="P300">IF(AND(COUNTIF(Suspect_Categories,$E300)&gt;0,SUMPRODUCT(--ISNUMBER(SEARCH(Suspect_Keywords,$I300&amp;" "&amp;$J300)))&gt;0),"Yes","No")</f>
        <v>No</v>
      </c>
      <c r="Q300" s="161" t="str">
        <f t="shared" si="2"/>
        <v>No</v>
      </c>
    </row>
    <row r="301" spans="1:17" x14ac:dyDescent="0.3">
      <c r="A301" s="11"/>
      <c r="B301" s="157" cm="1">
        <f t="array" ref="B301">INDEX(tbl_Ledger[Row ID],ROWS($B$27:$B301))</f>
        <v>275</v>
      </c>
      <c r="C301" s="158" cm="1">
        <f t="array" ref="C301">INDEX(tbl_Ledger[Date],ROWS($B$27:$B301))</f>
        <v>46244</v>
      </c>
      <c r="D301" s="157" t="str" cm="1">
        <f t="array" ref="D301">IF(INDEX(tbl_Ledger[Invoice Number],ROWS($B$27:$B301))="","",INDEX(tbl_Ledger[Invoice Number],ROWS($B$27:$B301)))</f>
        <v>NHL-2026-0103</v>
      </c>
      <c r="E301" s="157" t="str" cm="1">
        <f t="array" ref="E301">INDEX(tbl_Ledger[Tax Category],ROWS($B$27:$B301))</f>
        <v>OUT_STD</v>
      </c>
      <c r="F301" s="157" t="str" cm="1">
        <f t="array" ref="F301">INDEX(tbl_Ledger[Direction],ROWS($B$27:$B301))</f>
        <v>Inflow</v>
      </c>
      <c r="G301" s="159" cm="1">
        <f t="array" ref="G301">INDEX(tbl_Ledger[Tax Charged on Invoice],ROWS($B$27:$B301))</f>
        <v>11117.8</v>
      </c>
      <c r="H301" s="159" cm="1">
        <f t="array" ref="H301">INDEX(tbl_Ledger[Expected Total Tax],ROWS($B$27:$B301))</f>
        <v>11117.800000000001</v>
      </c>
      <c r="I301" s="159" t="str" cm="1">
        <f t="array" ref="I301">INDEX(tbl_Ledger[Description],ROWS($B$27:$B301))</f>
        <v>Bulk haulage of PMS, Tema-Takoradi, 2 trips</v>
      </c>
      <c r="J301" s="159" t="str" cm="1">
        <f t="array" ref="J301">INDEX(tbl_Ledger[Counterparty],ROWS($B$27:$B301))</f>
        <v>Keta Coastal Oils Ltd</v>
      </c>
      <c r="K301" s="160" t="str">
        <f>IF(COUNTIF(Dup_Exclusions,$E301)&gt;0,"No","Yes")</f>
        <v>Yes</v>
      </c>
      <c r="L301" s="161" t="str">
        <f>IF(AND($D301="",COUNTIF(NoInv_Exempt,$E301)=0),"Yes","No")</f>
        <v>No</v>
      </c>
      <c r="M301" s="161" t="str" cm="1">
        <f t="array" ref="M301">IF(AND($D301&lt;&gt;"",$K301="Yes"),IF(SUMPRODUCT((tbl_Ledger[Invoice Number]=$D301)*(COUNTIF(Dup_Exclusions,tbl_Ledger[Tax Category])=0))&gt;1,"Yes","No"),"No")</f>
        <v>No</v>
      </c>
      <c r="N301" s="161" t="str">
        <f>IF(ABS($G301-$H301)&gt;Tax_Tolerance,"Yes","No")</f>
        <v>No</v>
      </c>
      <c r="O301" s="161" t="str">
        <f>IF(OR(AND($F301="Inflow",LEFT($E301,LEN(Prefix_Outflow))=Prefix_Outflow),AND($F301="Outflow",LEFT($E301,LEN(Prefix_Inflow))=Prefix_Inflow)),"Yes","No")</f>
        <v>No</v>
      </c>
      <c r="P301" s="161" t="str" cm="1">
        <f t="array" ref="P301">IF(AND(COUNTIF(Suspect_Categories,$E301)&gt;0,SUMPRODUCT(--ISNUMBER(SEARCH(Suspect_Keywords,$I301&amp;" "&amp;$J301)))&gt;0),"Yes","No")</f>
        <v>No</v>
      </c>
      <c r="Q301" s="161" t="str">
        <f t="shared" si="2"/>
        <v>No</v>
      </c>
    </row>
    <row r="302" spans="1:17" x14ac:dyDescent="0.3">
      <c r="A302" s="11"/>
      <c r="B302" s="157" cm="1">
        <f t="array" ref="B302">INDEX(tbl_Ledger[Row ID],ROWS($B$27:$B302))</f>
        <v>276</v>
      </c>
      <c r="C302" s="158" cm="1">
        <f t="array" ref="C302">INDEX(tbl_Ledger[Date],ROWS($B$27:$B302))</f>
        <v>46244</v>
      </c>
      <c r="D302" s="157" t="str" cm="1">
        <f t="array" ref="D302">IF(INDEX(tbl_Ledger[Invoice Number],ROWS($B$27:$B302))="","",INDEX(tbl_Ledger[Invoice Number],ROWS($B$27:$B302)))</f>
        <v>NHL-2026-0104</v>
      </c>
      <c r="E302" s="157" t="str" cm="1">
        <f t="array" ref="E302">INDEX(tbl_Ledger[Tax Category],ROWS($B$27:$B302))</f>
        <v>OUT_STD</v>
      </c>
      <c r="F302" s="157" t="str" cm="1">
        <f t="array" ref="F302">INDEX(tbl_Ledger[Direction],ROWS($B$27:$B302))</f>
        <v>Inflow</v>
      </c>
      <c r="G302" s="159" cm="1">
        <f t="array" ref="G302">INDEX(tbl_Ledger[Tax Charged on Invoice],ROWS($B$27:$B302))</f>
        <v>14288.4</v>
      </c>
      <c r="H302" s="159" cm="1">
        <f t="array" ref="H302">INDEX(tbl_Ledger[Expected Total Tax],ROWS($B$27:$B302))</f>
        <v>14288.399999999998</v>
      </c>
      <c r="I302" s="159" t="str" cm="1">
        <f t="array" ref="I302">INDEX(tbl_Ledger[Description],ROWS($B$27:$B302))</f>
        <v>Bulk haulage of ATK, Tema-Kumasi, 4 trips</v>
      </c>
      <c r="J302" s="159" t="str" cm="1">
        <f t="array" ref="J302">INDEX(tbl_Ledger[Counterparty],ROWS($B$27:$B302))</f>
        <v>Keta Coastal Oils Ltd</v>
      </c>
      <c r="K302" s="160" t="str">
        <f>IF(COUNTIF(Dup_Exclusions,$E302)&gt;0,"No","Yes")</f>
        <v>Yes</v>
      </c>
      <c r="L302" s="161" t="str">
        <f>IF(AND($D302="",COUNTIF(NoInv_Exempt,$E302)=0),"Yes","No")</f>
        <v>No</v>
      </c>
      <c r="M302" s="161" t="str" cm="1">
        <f t="array" ref="M302">IF(AND($D302&lt;&gt;"",$K302="Yes"),IF(SUMPRODUCT((tbl_Ledger[Invoice Number]=$D302)*(COUNTIF(Dup_Exclusions,tbl_Ledger[Tax Category])=0))&gt;1,"Yes","No"),"No")</f>
        <v>No</v>
      </c>
      <c r="N302" s="161" t="str">
        <f>IF(ABS($G302-$H302)&gt;Tax_Tolerance,"Yes","No")</f>
        <v>No</v>
      </c>
      <c r="O302" s="161" t="str">
        <f>IF(OR(AND($F302="Inflow",LEFT($E302,LEN(Prefix_Outflow))=Prefix_Outflow),AND($F302="Outflow",LEFT($E302,LEN(Prefix_Inflow))=Prefix_Inflow)),"Yes","No")</f>
        <v>No</v>
      </c>
      <c r="P302" s="161" t="str" cm="1">
        <f t="array" ref="P302">IF(AND(COUNTIF(Suspect_Categories,$E302)&gt;0,SUMPRODUCT(--ISNUMBER(SEARCH(Suspect_Keywords,$I302&amp;" "&amp;$J302)))&gt;0),"Yes","No")</f>
        <v>No</v>
      </c>
      <c r="Q302" s="161" t="str">
        <f t="shared" si="2"/>
        <v>No</v>
      </c>
    </row>
    <row r="303" spans="1:17" x14ac:dyDescent="0.3">
      <c r="A303" s="11"/>
      <c r="B303" s="157" cm="1">
        <f t="array" ref="B303">INDEX(tbl_Ledger[Row ID],ROWS($B$27:$B303))</f>
        <v>277</v>
      </c>
      <c r="C303" s="158" cm="1">
        <f t="array" ref="C303">INDEX(tbl_Ledger[Date],ROWS($B$27:$B303))</f>
        <v>46246</v>
      </c>
      <c r="D303" s="157" t="str" cm="1">
        <f t="array" ref="D303">IF(INDEX(tbl_Ledger[Invoice Number],ROWS($B$27:$B303))="","",INDEX(tbl_Ledger[Invoice Number],ROWS($B$27:$B303)))</f>
        <v>SIN-2026-0114</v>
      </c>
      <c r="E303" s="157" t="str" cm="1">
        <f t="array" ref="E303">INDEX(tbl_Ledger[Tax Category],ROWS($B$27:$B303))</f>
        <v>IN_EXEMPT</v>
      </c>
      <c r="F303" s="157" t="str" cm="1">
        <f t="array" ref="F303">INDEX(tbl_Ledger[Direction],ROWS($B$27:$B303))</f>
        <v>Outflow</v>
      </c>
      <c r="G303" s="159" cm="1">
        <f t="array" ref="G303">INDEX(tbl_Ledger[Tax Charged on Invoice],ROWS($B$27:$B303))</f>
        <v>0</v>
      </c>
      <c r="H303" s="159" cm="1">
        <f t="array" ref="H303">INDEX(tbl_Ledger[Expected Total Tax],ROWS($B$27:$B303))</f>
        <v>0</v>
      </c>
      <c r="I303" s="159" t="str" cm="1">
        <f t="array" ref="I303">INDEX(tbl_Ledger[Description],ROWS($B$27:$B303))</f>
        <v>Diesel (AGO) purchased for own fleet use, 20,427 litres</v>
      </c>
      <c r="J303" s="159" t="str" cm="1">
        <f t="array" ref="J303">INDEX(tbl_Ledger[Counterparty],ROWS($B$27:$B303))</f>
        <v>Zenith Fuel Depot Ltd</v>
      </c>
      <c r="K303" s="160" t="str">
        <f>IF(COUNTIF(Dup_Exclusions,$E303)&gt;0,"No","Yes")</f>
        <v>Yes</v>
      </c>
      <c r="L303" s="161" t="str">
        <f>IF(AND($D303="",COUNTIF(NoInv_Exempt,$E303)=0),"Yes","No")</f>
        <v>No</v>
      </c>
      <c r="M303" s="161" t="str" cm="1">
        <f t="array" ref="M303">IF(AND($D303&lt;&gt;"",$K303="Yes"),IF(SUMPRODUCT((tbl_Ledger[Invoice Number]=$D303)*(COUNTIF(Dup_Exclusions,tbl_Ledger[Tax Category])=0))&gt;1,"Yes","No"),"No")</f>
        <v>No</v>
      </c>
      <c r="N303" s="161" t="str">
        <f>IF(ABS($G303-$H303)&gt;Tax_Tolerance,"Yes","No")</f>
        <v>No</v>
      </c>
      <c r="O303" s="161" t="str">
        <f>IF(OR(AND($F303="Inflow",LEFT($E303,LEN(Prefix_Outflow))=Prefix_Outflow),AND($F303="Outflow",LEFT($E303,LEN(Prefix_Inflow))=Prefix_Inflow)),"Yes","No")</f>
        <v>No</v>
      </c>
      <c r="P303" s="161" t="str" cm="1">
        <f t="array" ref="P303">IF(AND(COUNTIF(Suspect_Categories,$E303)&gt;0,SUMPRODUCT(--ISNUMBER(SEARCH(Suspect_Keywords,$I303&amp;" "&amp;$J303)))&gt;0),"Yes","No")</f>
        <v>No</v>
      </c>
      <c r="Q303" s="161" t="str">
        <f t="shared" si="2"/>
        <v>No</v>
      </c>
    </row>
    <row r="304" spans="1:17" x14ac:dyDescent="0.3">
      <c r="A304" s="11"/>
      <c r="B304" s="157" cm="1">
        <f t="array" ref="B304">INDEX(tbl_Ledger[Row ID],ROWS($B$27:$B304))</f>
        <v>278</v>
      </c>
      <c r="C304" s="158" cm="1">
        <f t="array" ref="C304">INDEX(tbl_Ledger[Date],ROWS($B$27:$B304))</f>
        <v>46247</v>
      </c>
      <c r="D304" s="157" t="str" cm="1">
        <f t="array" ref="D304">IF(INDEX(tbl_Ledger[Invoice Number],ROWS($B$27:$B304))="","",INDEX(tbl_Ledger[Invoice Number],ROWS($B$27:$B304)))</f>
        <v>BNK-2026-0022</v>
      </c>
      <c r="E304" s="157" t="str" cm="1">
        <f t="array" ref="E304">INDEX(tbl_Ledger[Tax Category],ROWS($B$27:$B304))</f>
        <v>IN_EXEMPT</v>
      </c>
      <c r="F304" s="157" t="str" cm="1">
        <f t="array" ref="F304">INDEX(tbl_Ledger[Direction],ROWS($B$27:$B304))</f>
        <v>Outflow</v>
      </c>
      <c r="G304" s="159" cm="1">
        <f t="array" ref="G304">INDEX(tbl_Ledger[Tax Charged on Invoice],ROWS($B$27:$B304))</f>
        <v>0</v>
      </c>
      <c r="H304" s="159" cm="1">
        <f t="array" ref="H304">INDEX(tbl_Ledger[Expected Total Tax],ROWS($B$27:$B304))</f>
        <v>0</v>
      </c>
      <c r="I304" s="159" t="str" cm="1">
        <f t="array" ref="I304">INDEX(tbl_Ledger[Description],ROWS($B$27:$B304))</f>
        <v>Transfer and settlement charges</v>
      </c>
      <c r="J304" s="159" t="str" cm="1">
        <f t="array" ref="J304">INDEX(tbl_Ledger[Counterparty],ROWS($B$27:$B304))</f>
        <v>Trust Union Bank Ltd</v>
      </c>
      <c r="K304" s="160" t="str">
        <f>IF(COUNTIF(Dup_Exclusions,$E304)&gt;0,"No","Yes")</f>
        <v>Yes</v>
      </c>
      <c r="L304" s="161" t="str">
        <f>IF(AND($D304="",COUNTIF(NoInv_Exempt,$E304)=0),"Yes","No")</f>
        <v>No</v>
      </c>
      <c r="M304" s="161" t="str" cm="1">
        <f t="array" ref="M304">IF(AND($D304&lt;&gt;"",$K304="Yes"),IF(SUMPRODUCT((tbl_Ledger[Invoice Number]=$D304)*(COUNTIF(Dup_Exclusions,tbl_Ledger[Tax Category])=0))&gt;1,"Yes","No"),"No")</f>
        <v>No</v>
      </c>
      <c r="N304" s="161" t="str">
        <f>IF(ABS($G304-$H304)&gt;Tax_Tolerance,"Yes","No")</f>
        <v>No</v>
      </c>
      <c r="O304" s="161" t="str">
        <f>IF(OR(AND($F304="Inflow",LEFT($E304,LEN(Prefix_Outflow))=Prefix_Outflow),AND($F304="Outflow",LEFT($E304,LEN(Prefix_Inflow))=Prefix_Inflow)),"Yes","No")</f>
        <v>No</v>
      </c>
      <c r="P304" s="161" t="str" cm="1">
        <f t="array" ref="P304">IF(AND(COUNTIF(Suspect_Categories,$E304)&gt;0,SUMPRODUCT(--ISNUMBER(SEARCH(Suspect_Keywords,$I304&amp;" "&amp;$J304)))&gt;0),"Yes","No")</f>
        <v>No</v>
      </c>
      <c r="Q304" s="161" t="str">
        <f t="shared" si="2"/>
        <v>No</v>
      </c>
    </row>
    <row r="305" spans="1:17" x14ac:dyDescent="0.3">
      <c r="A305" s="11"/>
      <c r="B305" s="157" cm="1">
        <f t="array" ref="B305">INDEX(tbl_Ledger[Row ID],ROWS($B$27:$B305))</f>
        <v>279</v>
      </c>
      <c r="C305" s="158" cm="1">
        <f t="array" ref="C305">INDEX(tbl_Ledger[Date],ROWS($B$27:$B305))</f>
        <v>46248</v>
      </c>
      <c r="D305" s="157" t="str" cm="1">
        <f t="array" ref="D305">IF(INDEX(tbl_Ledger[Invoice Number],ROWS($B$27:$B305))="","",INDEX(tbl_Ledger[Invoice Number],ROWS($B$27:$B305)))</f>
        <v>GRA-2026-0015</v>
      </c>
      <c r="E305" s="157" t="str" cm="1">
        <f t="array" ref="E305">INDEX(tbl_Ledger[Tax Category],ROWS($B$27:$B305))</f>
        <v>NO_VAT</v>
      </c>
      <c r="F305" s="157" t="str" cm="1">
        <f t="array" ref="F305">INDEX(tbl_Ledger[Direction],ROWS($B$27:$B305))</f>
        <v>Outflow</v>
      </c>
      <c r="G305" s="159" cm="1">
        <f t="array" ref="G305">INDEX(tbl_Ledger[Tax Charged on Invoice],ROWS($B$27:$B305))</f>
        <v>0</v>
      </c>
      <c r="H305" s="159" cm="1">
        <f t="array" ref="H305">INDEX(tbl_Ledger[Expected Total Tax],ROWS($B$27:$B305))</f>
        <v>0</v>
      </c>
      <c r="I305" s="159" t="str" cm="1">
        <f t="array" ref="I305">INDEX(tbl_Ledger[Description],ROWS($B$27:$B305))</f>
        <v>PAYE and SSNIT contributions - August</v>
      </c>
      <c r="J305" s="159" t="str" cm="1">
        <f t="array" ref="J305">INDEX(tbl_Ledger[Counterparty],ROWS($B$27:$B305))</f>
        <v>Ghana Revenue Authority</v>
      </c>
      <c r="K305" s="160" t="str">
        <f>IF(COUNTIF(Dup_Exclusions,$E305)&gt;0,"No","Yes")</f>
        <v>Yes</v>
      </c>
      <c r="L305" s="161" t="str">
        <f>IF(AND($D305="",COUNTIF(NoInv_Exempt,$E305)=0),"Yes","No")</f>
        <v>No</v>
      </c>
      <c r="M305" s="161" t="str" cm="1">
        <f t="array" ref="M305">IF(AND($D305&lt;&gt;"",$K305="Yes"),IF(SUMPRODUCT((tbl_Ledger[Invoice Number]=$D305)*(COUNTIF(Dup_Exclusions,tbl_Ledger[Tax Category])=0))&gt;1,"Yes","No"),"No")</f>
        <v>No</v>
      </c>
      <c r="N305" s="161" t="str">
        <f>IF(ABS($G305-$H305)&gt;Tax_Tolerance,"Yes","No")</f>
        <v>No</v>
      </c>
      <c r="O305" s="161" t="str">
        <f>IF(OR(AND($F305="Inflow",LEFT($E305,LEN(Prefix_Outflow))=Prefix_Outflow),AND($F305="Outflow",LEFT($E305,LEN(Prefix_Inflow))=Prefix_Inflow)),"Yes","No")</f>
        <v>No</v>
      </c>
      <c r="P305" s="161" t="str" cm="1">
        <f t="array" ref="P305">IF(AND(COUNTIF(Suspect_Categories,$E305)&gt;0,SUMPRODUCT(--ISNUMBER(SEARCH(Suspect_Keywords,$I305&amp;" "&amp;$J305)))&gt;0),"Yes","No")</f>
        <v>No</v>
      </c>
      <c r="Q305" s="161" t="str">
        <f t="shared" si="2"/>
        <v>No</v>
      </c>
    </row>
    <row r="306" spans="1:17" x14ac:dyDescent="0.3">
      <c r="A306" s="11"/>
      <c r="B306" s="157" cm="1">
        <f t="array" ref="B306">INDEX(tbl_Ledger[Row ID],ROWS($B$27:$B306))</f>
        <v>280</v>
      </c>
      <c r="C306" s="158" cm="1">
        <f t="array" ref="C306">INDEX(tbl_Ledger[Date],ROWS($B$27:$B306))</f>
        <v>46249</v>
      </c>
      <c r="D306" s="157" t="str" cm="1">
        <f t="array" ref="D306">IF(INDEX(tbl_Ledger[Invoice Number],ROWS($B$27:$B306))="","",INDEX(tbl_Ledger[Invoice Number],ROWS($B$27:$B306)))</f>
        <v>LN-2026-0008</v>
      </c>
      <c r="E306" s="157" t="str" cm="1">
        <f t="array" ref="E306">INDEX(tbl_Ledger[Tax Category],ROWS($B$27:$B306))</f>
        <v>NO_VAT</v>
      </c>
      <c r="F306" s="157" t="str" cm="1">
        <f t="array" ref="F306">INDEX(tbl_Ledger[Direction],ROWS($B$27:$B306))</f>
        <v>Outflow</v>
      </c>
      <c r="G306" s="159" cm="1">
        <f t="array" ref="G306">INDEX(tbl_Ledger[Tax Charged on Invoice],ROWS($B$27:$B306))</f>
        <v>0</v>
      </c>
      <c r="H306" s="159" cm="1">
        <f t="array" ref="H306">INDEX(tbl_Ledger[Expected Total Tax],ROWS($B$27:$B306))</f>
        <v>0</v>
      </c>
      <c r="I306" s="159" t="str" cm="1">
        <f t="array" ref="I306">INDEX(tbl_Ledger[Description],ROWS($B$27:$B306))</f>
        <v>Term loan repayment - principal and interest, instalment 8</v>
      </c>
      <c r="J306" s="159" t="str" cm="1">
        <f t="array" ref="J306">INDEX(tbl_Ledger[Counterparty],ROWS($B$27:$B306))</f>
        <v>Meridian Bank Ghana Ltd</v>
      </c>
      <c r="K306" s="160" t="str">
        <f>IF(COUNTIF(Dup_Exclusions,$E306)&gt;0,"No","Yes")</f>
        <v>Yes</v>
      </c>
      <c r="L306" s="161" t="str">
        <f>IF(AND($D306="",COUNTIF(NoInv_Exempt,$E306)=0),"Yes","No")</f>
        <v>No</v>
      </c>
      <c r="M306" s="161" t="str" cm="1">
        <f t="array" ref="M306">IF(AND($D306&lt;&gt;"",$K306="Yes"),IF(SUMPRODUCT((tbl_Ledger[Invoice Number]=$D306)*(COUNTIF(Dup_Exclusions,tbl_Ledger[Tax Category])=0))&gt;1,"Yes","No"),"No")</f>
        <v>No</v>
      </c>
      <c r="N306" s="161" t="str">
        <f>IF(ABS($G306-$H306)&gt;Tax_Tolerance,"Yes","No")</f>
        <v>No</v>
      </c>
      <c r="O306" s="161" t="str">
        <f>IF(OR(AND($F306="Inflow",LEFT($E306,LEN(Prefix_Outflow))=Prefix_Outflow),AND($F306="Outflow",LEFT($E306,LEN(Prefix_Inflow))=Prefix_Inflow)),"Yes","No")</f>
        <v>No</v>
      </c>
      <c r="P306" s="161" t="str" cm="1">
        <f t="array" ref="P306">IF(AND(COUNTIF(Suspect_Categories,$E306)&gt;0,SUMPRODUCT(--ISNUMBER(SEARCH(Suspect_Keywords,$I306&amp;" "&amp;$J306)))&gt;0),"Yes","No")</f>
        <v>No</v>
      </c>
      <c r="Q306" s="161" t="str">
        <f t="shared" si="2"/>
        <v>No</v>
      </c>
    </row>
    <row r="307" spans="1:17" x14ac:dyDescent="0.3">
      <c r="A307" s="11"/>
      <c r="B307" s="157" cm="1">
        <f t="array" ref="B307">INDEX(tbl_Ledger[Row ID],ROWS($B$27:$B307))</f>
        <v>281</v>
      </c>
      <c r="C307" s="158" cm="1">
        <f t="array" ref="C307">INDEX(tbl_Ledger[Date],ROWS($B$27:$B307))</f>
        <v>46249</v>
      </c>
      <c r="D307" s="157" t="str" cm="1">
        <f t="array" ref="D307">IF(INDEX(tbl_Ledger[Invoice Number],ROWS($B$27:$B307))="","",INDEX(tbl_Ledger[Invoice Number],ROWS($B$27:$B307)))</f>
        <v>NHL-2026-0105</v>
      </c>
      <c r="E307" s="157" t="str" cm="1">
        <f t="array" ref="E307">INDEX(tbl_Ledger[Tax Category],ROWS($B$27:$B307))</f>
        <v>OUT_STD</v>
      </c>
      <c r="F307" s="157" t="str" cm="1">
        <f t="array" ref="F307">INDEX(tbl_Ledger[Direction],ROWS($B$27:$B307))</f>
        <v>Inflow</v>
      </c>
      <c r="G307" s="159" cm="1">
        <f t="array" ref="G307">INDEX(tbl_Ledger[Tax Charged on Invoice],ROWS($B$27:$B307))</f>
        <v>8719.4</v>
      </c>
      <c r="H307" s="159" cm="1">
        <f t="array" ref="H307">INDEX(tbl_Ledger[Expected Total Tax],ROWS($B$27:$B307))</f>
        <v>8719.4</v>
      </c>
      <c r="I307" s="159" t="str" cm="1">
        <f t="array" ref="I307">INDEX(tbl_Ledger[Description],ROWS($B$27:$B307))</f>
        <v>Bulk haulage of LPG, Tema-Bolgatanga, 3 trips</v>
      </c>
      <c r="J307" s="159" t="str" cm="1">
        <f t="array" ref="J307">INDEX(tbl_Ledger[Counterparty],ROWS($B$27:$B307))</f>
        <v>Adinkra Oil Marketing Ltd</v>
      </c>
      <c r="K307" s="160" t="str">
        <f>IF(COUNTIF(Dup_Exclusions,$E307)&gt;0,"No","Yes")</f>
        <v>Yes</v>
      </c>
      <c r="L307" s="161" t="str">
        <f>IF(AND($D307="",COUNTIF(NoInv_Exempt,$E307)=0),"Yes","No")</f>
        <v>No</v>
      </c>
      <c r="M307" s="161" t="str" cm="1">
        <f t="array" ref="M307">IF(AND($D307&lt;&gt;"",$K307="Yes"),IF(SUMPRODUCT((tbl_Ledger[Invoice Number]=$D307)*(COUNTIF(Dup_Exclusions,tbl_Ledger[Tax Category])=0))&gt;1,"Yes","No"),"No")</f>
        <v>No</v>
      </c>
      <c r="N307" s="161" t="str">
        <f>IF(ABS($G307-$H307)&gt;Tax_Tolerance,"Yes","No")</f>
        <v>No</v>
      </c>
      <c r="O307" s="161" t="str">
        <f>IF(OR(AND($F307="Inflow",LEFT($E307,LEN(Prefix_Outflow))=Prefix_Outflow),AND($F307="Outflow",LEFT($E307,LEN(Prefix_Inflow))=Prefix_Inflow)),"Yes","No")</f>
        <v>No</v>
      </c>
      <c r="P307" s="161" t="str" cm="1">
        <f t="array" ref="P307">IF(AND(COUNTIF(Suspect_Categories,$E307)&gt;0,SUMPRODUCT(--ISNUMBER(SEARCH(Suspect_Keywords,$I307&amp;" "&amp;$J307)))&gt;0),"Yes","No")</f>
        <v>No</v>
      </c>
      <c r="Q307" s="161" t="str">
        <f t="shared" si="2"/>
        <v>No</v>
      </c>
    </row>
    <row r="308" spans="1:17" x14ac:dyDescent="0.3">
      <c r="A308" s="11"/>
      <c r="B308" s="157" cm="1">
        <f t="array" ref="B308">INDEX(tbl_Ledger[Row ID],ROWS($B$27:$B308))</f>
        <v>282</v>
      </c>
      <c r="C308" s="158" cm="1">
        <f t="array" ref="C308">INDEX(tbl_Ledger[Date],ROWS($B$27:$B308))</f>
        <v>46250</v>
      </c>
      <c r="D308" s="157" t="str" cm="1">
        <f t="array" ref="D308">IF(INDEX(tbl_Ledger[Invoice Number],ROWS($B$27:$B308))="","",INDEX(tbl_Ledger[Invoice Number],ROWS($B$27:$B308)))</f>
        <v>BNK-2026-0023</v>
      </c>
      <c r="E308" s="157" t="str" cm="1">
        <f t="array" ref="E308">INDEX(tbl_Ledger[Tax Category],ROWS($B$27:$B308))</f>
        <v>IN_EXEMPT</v>
      </c>
      <c r="F308" s="157" t="str" cm="1">
        <f t="array" ref="F308">INDEX(tbl_Ledger[Direction],ROWS($B$27:$B308))</f>
        <v>Outflow</v>
      </c>
      <c r="G308" s="159" cm="1">
        <f t="array" ref="G308">INDEX(tbl_Ledger[Tax Charged on Invoice],ROWS($B$27:$B308))</f>
        <v>0</v>
      </c>
      <c r="H308" s="159" cm="1">
        <f t="array" ref="H308">INDEX(tbl_Ledger[Expected Total Tax],ROWS($B$27:$B308))</f>
        <v>0</v>
      </c>
      <c r="I308" s="159" t="str" cm="1">
        <f t="array" ref="I308">INDEX(tbl_Ledger[Description],ROWS($B$27:$B308))</f>
        <v>Cheque book and facility fees</v>
      </c>
      <c r="J308" s="159" t="str" cm="1">
        <f t="array" ref="J308">INDEX(tbl_Ledger[Counterparty],ROWS($B$27:$B308))</f>
        <v>Meridian Bank Ghana Ltd</v>
      </c>
      <c r="K308" s="160" t="str">
        <f>IF(COUNTIF(Dup_Exclusions,$E308)&gt;0,"No","Yes")</f>
        <v>Yes</v>
      </c>
      <c r="L308" s="161" t="str">
        <f>IF(AND($D308="",COUNTIF(NoInv_Exempt,$E308)=0),"Yes","No")</f>
        <v>No</v>
      </c>
      <c r="M308" s="161" t="str" cm="1">
        <f t="array" ref="M308">IF(AND($D308&lt;&gt;"",$K308="Yes"),IF(SUMPRODUCT((tbl_Ledger[Invoice Number]=$D308)*(COUNTIF(Dup_Exclusions,tbl_Ledger[Tax Category])=0))&gt;1,"Yes","No"),"No")</f>
        <v>No</v>
      </c>
      <c r="N308" s="161" t="str">
        <f>IF(ABS($G308-$H308)&gt;Tax_Tolerance,"Yes","No")</f>
        <v>No</v>
      </c>
      <c r="O308" s="161" t="str">
        <f>IF(OR(AND($F308="Inflow",LEFT($E308,LEN(Prefix_Outflow))=Prefix_Outflow),AND($F308="Outflow",LEFT($E308,LEN(Prefix_Inflow))=Prefix_Inflow)),"Yes","No")</f>
        <v>No</v>
      </c>
      <c r="P308" s="161" t="str" cm="1">
        <f t="array" ref="P308">IF(AND(COUNTIF(Suspect_Categories,$E308)&gt;0,SUMPRODUCT(--ISNUMBER(SEARCH(Suspect_Keywords,$I308&amp;" "&amp;$J308)))&gt;0),"Yes","No")</f>
        <v>No</v>
      </c>
      <c r="Q308" s="161" t="str">
        <f t="shared" si="2"/>
        <v>No</v>
      </c>
    </row>
    <row r="309" spans="1:17" x14ac:dyDescent="0.3">
      <c r="A309" s="11"/>
      <c r="B309" s="157" cm="1">
        <f t="array" ref="B309">INDEX(tbl_Ledger[Row ID],ROWS($B$27:$B309))</f>
        <v>283</v>
      </c>
      <c r="C309" s="158" cm="1">
        <f t="array" ref="C309">INDEX(tbl_Ledger[Date],ROWS($B$27:$B309))</f>
        <v>46251</v>
      </c>
      <c r="D309" s="157" t="str" cm="1">
        <f t="array" ref="D309">IF(INDEX(tbl_Ledger[Invoice Number],ROWS($B$27:$B309))="","",INDEX(tbl_Ledger[Invoice Number],ROWS($B$27:$B309)))</f>
        <v>NHL-2026-0106</v>
      </c>
      <c r="E309" s="157" t="str" cm="1">
        <f t="array" ref="E309">INDEX(tbl_Ledger[Tax Category],ROWS($B$27:$B309))</f>
        <v>OUT_STD</v>
      </c>
      <c r="F309" s="157" t="str" cm="1">
        <f t="array" ref="F309">INDEX(tbl_Ledger[Direction],ROWS($B$27:$B309))</f>
        <v>Inflow</v>
      </c>
      <c r="G309" s="159" cm="1">
        <f t="array" ref="G309">INDEX(tbl_Ledger[Tax Charged on Invoice],ROWS($B$27:$B309))</f>
        <v>16393.2</v>
      </c>
      <c r="H309" s="159" cm="1">
        <f t="array" ref="H309">INDEX(tbl_Ledger[Expected Total Tax],ROWS($B$27:$B309))</f>
        <v>16393.2</v>
      </c>
      <c r="I309" s="159" t="str" cm="1">
        <f t="array" ref="I309">INDEX(tbl_Ledger[Description],ROWS($B$27:$B309))</f>
        <v>Bulk haulage of PMS, Takoradi-Wa, 5 trips</v>
      </c>
      <c r="J309" s="159" t="str" cm="1">
        <f t="array" ref="J309">INDEX(tbl_Ledger[Counterparty],ROWS($B$27:$B309))</f>
        <v>Volta Star Fuels Ltd</v>
      </c>
      <c r="K309" s="160" t="str">
        <f>IF(COUNTIF(Dup_Exclusions,$E309)&gt;0,"No","Yes")</f>
        <v>Yes</v>
      </c>
      <c r="L309" s="161" t="str">
        <f>IF(AND($D309="",COUNTIF(NoInv_Exempt,$E309)=0),"Yes","No")</f>
        <v>No</v>
      </c>
      <c r="M309" s="161" t="str" cm="1">
        <f t="array" ref="M309">IF(AND($D309&lt;&gt;"",$K309="Yes"),IF(SUMPRODUCT((tbl_Ledger[Invoice Number]=$D309)*(COUNTIF(Dup_Exclusions,tbl_Ledger[Tax Category])=0))&gt;1,"Yes","No"),"No")</f>
        <v>No</v>
      </c>
      <c r="N309" s="161" t="str">
        <f>IF(ABS($G309-$H309)&gt;Tax_Tolerance,"Yes","No")</f>
        <v>No</v>
      </c>
      <c r="O309" s="161" t="str">
        <f>IF(OR(AND($F309="Inflow",LEFT($E309,LEN(Prefix_Outflow))=Prefix_Outflow),AND($F309="Outflow",LEFT($E309,LEN(Prefix_Inflow))=Prefix_Inflow)),"Yes","No")</f>
        <v>No</v>
      </c>
      <c r="P309" s="161" t="str" cm="1">
        <f t="array" ref="P309">IF(AND(COUNTIF(Suspect_Categories,$E309)&gt;0,SUMPRODUCT(--ISNUMBER(SEARCH(Suspect_Keywords,$I309&amp;" "&amp;$J309)))&gt;0),"Yes","No")</f>
        <v>No</v>
      </c>
      <c r="Q309" s="161" t="str">
        <f t="shared" si="2"/>
        <v>No</v>
      </c>
    </row>
    <row r="310" spans="1:17" x14ac:dyDescent="0.3">
      <c r="A310" s="11"/>
      <c r="B310" s="157" cm="1">
        <f t="array" ref="B310">INDEX(tbl_Ledger[Row ID],ROWS($B$27:$B310))</f>
        <v>284</v>
      </c>
      <c r="C310" s="158" cm="1">
        <f t="array" ref="C310">INDEX(tbl_Ledger[Date],ROWS($B$27:$B310))</f>
        <v>46253</v>
      </c>
      <c r="D310" s="157" t="str" cm="1">
        <f t="array" ref="D310">IF(INDEX(tbl_Ledger[Invoice Number],ROWS($B$27:$B310))="","",INDEX(tbl_Ledger[Invoice Number],ROWS($B$27:$B310)))</f>
        <v>NHL-2026-0107</v>
      </c>
      <c r="E310" s="157" t="str" cm="1">
        <f t="array" ref="E310">INDEX(tbl_Ledger[Tax Category],ROWS($B$27:$B310))</f>
        <v>OUT_STD</v>
      </c>
      <c r="F310" s="157" t="str" cm="1">
        <f t="array" ref="F310">INDEX(tbl_Ledger[Direction],ROWS($B$27:$B310))</f>
        <v>Inflow</v>
      </c>
      <c r="G310" s="159" cm="1">
        <f t="array" ref="G310">INDEX(tbl_Ledger[Tax Charged on Invoice],ROWS($B$27:$B310))</f>
        <v>20205.599999999999</v>
      </c>
      <c r="H310" s="159" cm="1">
        <f t="array" ref="H310">INDEX(tbl_Ledger[Expected Total Tax],ROWS($B$27:$B310))</f>
        <v>20205.599999999999</v>
      </c>
      <c r="I310" s="159" t="str" cm="1">
        <f t="array" ref="I310">INDEX(tbl_Ledger[Description],ROWS($B$27:$B310))</f>
        <v>Bulk haulage of AGO, Kumasi-Sunyani, 2 trips</v>
      </c>
      <c r="J310" s="159" t="str" cm="1">
        <f t="array" ref="J310">INDEX(tbl_Ledger[Counterparty],ROWS($B$27:$B310))</f>
        <v>Keta Coastal Oils Ltd</v>
      </c>
      <c r="K310" s="160" t="str">
        <f>IF(COUNTIF(Dup_Exclusions,$E310)&gt;0,"No","Yes")</f>
        <v>Yes</v>
      </c>
      <c r="L310" s="161" t="str">
        <f>IF(AND($D310="",COUNTIF(NoInv_Exempt,$E310)=0),"Yes","No")</f>
        <v>No</v>
      </c>
      <c r="M310" s="161" t="str" cm="1">
        <f t="array" ref="M310">IF(AND($D310&lt;&gt;"",$K310="Yes"),IF(SUMPRODUCT((tbl_Ledger[Invoice Number]=$D310)*(COUNTIF(Dup_Exclusions,tbl_Ledger[Tax Category])=0))&gt;1,"Yes","No"),"No")</f>
        <v>No</v>
      </c>
      <c r="N310" s="161" t="str">
        <f>IF(ABS($G310-$H310)&gt;Tax_Tolerance,"Yes","No")</f>
        <v>No</v>
      </c>
      <c r="O310" s="161" t="str">
        <f>IF(OR(AND($F310="Inflow",LEFT($E310,LEN(Prefix_Outflow))=Prefix_Outflow),AND($F310="Outflow",LEFT($E310,LEN(Prefix_Inflow))=Prefix_Inflow)),"Yes","No")</f>
        <v>No</v>
      </c>
      <c r="P310" s="161" t="str" cm="1">
        <f t="array" ref="P310">IF(AND(COUNTIF(Suspect_Categories,$E310)&gt;0,SUMPRODUCT(--ISNUMBER(SEARCH(Suspect_Keywords,$I310&amp;" "&amp;$J310)))&gt;0),"Yes","No")</f>
        <v>No</v>
      </c>
      <c r="Q310" s="161" t="str">
        <f t="shared" si="2"/>
        <v>No</v>
      </c>
    </row>
    <row r="311" spans="1:17" x14ac:dyDescent="0.3">
      <c r="A311" s="11"/>
      <c r="B311" s="157" cm="1">
        <f t="array" ref="B311">INDEX(tbl_Ledger[Row ID],ROWS($B$27:$B311))</f>
        <v>285</v>
      </c>
      <c r="C311" s="158" cm="1">
        <f t="array" ref="C311">INDEX(tbl_Ledger[Date],ROWS($B$27:$B311))</f>
        <v>46254</v>
      </c>
      <c r="D311" s="157" t="str" cm="1">
        <f t="array" ref="D311">IF(INDEX(tbl_Ledger[Invoice Number],ROWS($B$27:$B311))="","",INDEX(tbl_Ledger[Invoice Number],ROWS($B$27:$B311)))</f>
        <v>SIN-2026-0115</v>
      </c>
      <c r="E311" s="157" t="str" cm="1">
        <f t="array" ref="E311">INDEX(tbl_Ledger[Tax Category],ROWS($B$27:$B311))</f>
        <v>IN_EXEMPT</v>
      </c>
      <c r="F311" s="157" t="str" cm="1">
        <f t="array" ref="F311">INDEX(tbl_Ledger[Direction],ROWS($B$27:$B311))</f>
        <v>Outflow</v>
      </c>
      <c r="G311" s="159" cm="1">
        <f t="array" ref="G311">INDEX(tbl_Ledger[Tax Charged on Invoice],ROWS($B$27:$B311))</f>
        <v>0</v>
      </c>
      <c r="H311" s="159" cm="1">
        <f t="array" ref="H311">INDEX(tbl_Ledger[Expected Total Tax],ROWS($B$27:$B311))</f>
        <v>0</v>
      </c>
      <c r="I311" s="159" t="str" cm="1">
        <f t="array" ref="I311">INDEX(tbl_Ledger[Description],ROWS($B$27:$B311))</f>
        <v>Third-party liability cover premium</v>
      </c>
      <c r="J311" s="159" t="str" cm="1">
        <f t="array" ref="J311">INDEX(tbl_Ledger[Counterparty],ROWS($B$27:$B311))</f>
        <v>Pillar Insurance Ghana Ltd</v>
      </c>
      <c r="K311" s="160" t="str">
        <f>IF(COUNTIF(Dup_Exclusions,$E311)&gt;0,"No","Yes")</f>
        <v>Yes</v>
      </c>
      <c r="L311" s="161" t="str">
        <f>IF(AND($D311="",COUNTIF(NoInv_Exempt,$E311)=0),"Yes","No")</f>
        <v>No</v>
      </c>
      <c r="M311" s="161" t="str" cm="1">
        <f t="array" ref="M311">IF(AND($D311&lt;&gt;"",$K311="Yes"),IF(SUMPRODUCT((tbl_Ledger[Invoice Number]=$D311)*(COUNTIF(Dup_Exclusions,tbl_Ledger[Tax Category])=0))&gt;1,"Yes","No"),"No")</f>
        <v>No</v>
      </c>
      <c r="N311" s="161" t="str">
        <f>IF(ABS($G311-$H311)&gt;Tax_Tolerance,"Yes","No")</f>
        <v>No</v>
      </c>
      <c r="O311" s="161" t="str">
        <f>IF(OR(AND($F311="Inflow",LEFT($E311,LEN(Prefix_Outflow))=Prefix_Outflow),AND($F311="Outflow",LEFT($E311,LEN(Prefix_Inflow))=Prefix_Inflow)),"Yes","No")</f>
        <v>No</v>
      </c>
      <c r="P311" s="161" t="str" cm="1">
        <f t="array" ref="P311">IF(AND(COUNTIF(Suspect_Categories,$E311)&gt;0,SUMPRODUCT(--ISNUMBER(SEARCH(Suspect_Keywords,$I311&amp;" "&amp;$J311)))&gt;0),"Yes","No")</f>
        <v>No</v>
      </c>
      <c r="Q311" s="161" t="str">
        <f t="shared" si="2"/>
        <v>No</v>
      </c>
    </row>
    <row r="312" spans="1:17" x14ac:dyDescent="0.3">
      <c r="A312" s="11"/>
      <c r="B312" s="157" cm="1">
        <f t="array" ref="B312">INDEX(tbl_Ledger[Row ID],ROWS($B$27:$B312))</f>
        <v>286</v>
      </c>
      <c r="C312" s="158" cm="1">
        <f t="array" ref="C312">INDEX(tbl_Ledger[Date],ROWS($B$27:$B312))</f>
        <v>46254</v>
      </c>
      <c r="D312" s="157" t="str" cm="1">
        <f t="array" ref="D312">IF(INDEX(tbl_Ledger[Invoice Number],ROWS($B$27:$B312))="","",INDEX(tbl_Ledger[Invoice Number],ROWS($B$27:$B312)))</f>
        <v>GRA-2026-0016</v>
      </c>
      <c r="E312" s="157" t="str" cm="1">
        <f t="array" ref="E312">INDEX(tbl_Ledger[Tax Category],ROWS($B$27:$B312))</f>
        <v>NO_VAT</v>
      </c>
      <c r="F312" s="157" t="str" cm="1">
        <f t="array" ref="F312">INDEX(tbl_Ledger[Direction],ROWS($B$27:$B312))</f>
        <v>Outflow</v>
      </c>
      <c r="G312" s="159" cm="1">
        <f t="array" ref="G312">INDEX(tbl_Ledger[Tax Charged on Invoice],ROWS($B$27:$B312))</f>
        <v>0</v>
      </c>
      <c r="H312" s="159" cm="1">
        <f t="array" ref="H312">INDEX(tbl_Ledger[Expected Total Tax],ROWS($B$27:$B312))</f>
        <v>0</v>
      </c>
      <c r="I312" s="159" t="str" cm="1">
        <f t="array" ref="I312">INDEX(tbl_Ledger[Description],ROWS($B$27:$B312))</f>
        <v>VAT and levies remitted to GRA for August period</v>
      </c>
      <c r="J312" s="159" t="str" cm="1">
        <f t="array" ref="J312">INDEX(tbl_Ledger[Counterparty],ROWS($B$27:$B312))</f>
        <v>Ghana Revenue Authority</v>
      </c>
      <c r="K312" s="160" t="str">
        <f>IF(COUNTIF(Dup_Exclusions,$E312)&gt;0,"No","Yes")</f>
        <v>Yes</v>
      </c>
      <c r="L312" s="161" t="str">
        <f>IF(AND($D312="",COUNTIF(NoInv_Exempt,$E312)=0),"Yes","No")</f>
        <v>No</v>
      </c>
      <c r="M312" s="161" t="str" cm="1">
        <f t="array" ref="M312">IF(AND($D312&lt;&gt;"",$K312="Yes"),IF(SUMPRODUCT((tbl_Ledger[Invoice Number]=$D312)*(COUNTIF(Dup_Exclusions,tbl_Ledger[Tax Category])=0))&gt;1,"Yes","No"),"No")</f>
        <v>No</v>
      </c>
      <c r="N312" s="161" t="str">
        <f>IF(ABS($G312-$H312)&gt;Tax_Tolerance,"Yes","No")</f>
        <v>No</v>
      </c>
      <c r="O312" s="161" t="str">
        <f>IF(OR(AND($F312="Inflow",LEFT($E312,LEN(Prefix_Outflow))=Prefix_Outflow),AND($F312="Outflow",LEFT($E312,LEN(Prefix_Inflow))=Prefix_Inflow)),"Yes","No")</f>
        <v>No</v>
      </c>
      <c r="P312" s="161" t="str" cm="1">
        <f t="array" ref="P312">IF(AND(COUNTIF(Suspect_Categories,$E312)&gt;0,SUMPRODUCT(--ISNUMBER(SEARCH(Suspect_Keywords,$I312&amp;" "&amp;$J312)))&gt;0),"Yes","No")</f>
        <v>No</v>
      </c>
      <c r="Q312" s="161" t="str">
        <f t="shared" si="2"/>
        <v>No</v>
      </c>
    </row>
    <row r="313" spans="1:17" x14ac:dyDescent="0.3">
      <c r="A313" s="11"/>
      <c r="B313" s="157" cm="1">
        <f t="array" ref="B313">INDEX(tbl_Ledger[Row ID],ROWS($B$27:$B313))</f>
        <v>287</v>
      </c>
      <c r="C313" s="158" cm="1">
        <f t="array" ref="C313">INDEX(tbl_Ledger[Date],ROWS($B$27:$B313))</f>
        <v>46254</v>
      </c>
      <c r="D313" s="157" t="str" cm="1">
        <f t="array" ref="D313">IF(INDEX(tbl_Ledger[Invoice Number],ROWS($B$27:$B313))="","",INDEX(tbl_Ledger[Invoice Number],ROWS($B$27:$B313)))</f>
        <v>NHL-2026-0108</v>
      </c>
      <c r="E313" s="157" t="str" cm="1">
        <f t="array" ref="E313">INDEX(tbl_Ledger[Tax Category],ROWS($B$27:$B313))</f>
        <v>OUT_STD</v>
      </c>
      <c r="F313" s="157" t="str" cm="1">
        <f t="array" ref="F313">INDEX(tbl_Ledger[Direction],ROWS($B$27:$B313))</f>
        <v>Inflow</v>
      </c>
      <c r="G313" s="159" cm="1">
        <f t="array" ref="G313">INDEX(tbl_Ledger[Tax Charged on Invoice],ROWS($B$27:$B313))</f>
        <v>15119.6</v>
      </c>
      <c r="H313" s="159" cm="1">
        <f t="array" ref="H313">INDEX(tbl_Ledger[Expected Total Tax],ROWS($B$27:$B313))</f>
        <v>15119.6</v>
      </c>
      <c r="I313" s="159" t="str" cm="1">
        <f t="array" ref="I313">INDEX(tbl_Ledger[Description],ROWS($B$27:$B313))</f>
        <v>Bulk haulage of PMS, Tema-Takoradi, 8 trips</v>
      </c>
      <c r="J313" s="159" t="str" cm="1">
        <f t="array" ref="J313">INDEX(tbl_Ledger[Counterparty],ROWS($B$27:$B313))</f>
        <v>Golden Harmattan Energy Ltd</v>
      </c>
      <c r="K313" s="160" t="str">
        <f>IF(COUNTIF(Dup_Exclusions,$E313)&gt;0,"No","Yes")</f>
        <v>Yes</v>
      </c>
      <c r="L313" s="161" t="str">
        <f>IF(AND($D313="",COUNTIF(NoInv_Exempt,$E313)=0),"Yes","No")</f>
        <v>No</v>
      </c>
      <c r="M313" s="161" t="str" cm="1">
        <f t="array" ref="M313">IF(AND($D313&lt;&gt;"",$K313="Yes"),IF(SUMPRODUCT((tbl_Ledger[Invoice Number]=$D313)*(COUNTIF(Dup_Exclusions,tbl_Ledger[Tax Category])=0))&gt;1,"Yes","No"),"No")</f>
        <v>No</v>
      </c>
      <c r="N313" s="161" t="str">
        <f>IF(ABS($G313-$H313)&gt;Tax_Tolerance,"Yes","No")</f>
        <v>No</v>
      </c>
      <c r="O313" s="161" t="str">
        <f>IF(OR(AND($F313="Inflow",LEFT($E313,LEN(Prefix_Outflow))=Prefix_Outflow),AND($F313="Outflow",LEFT($E313,LEN(Prefix_Inflow))=Prefix_Inflow)),"Yes","No")</f>
        <v>No</v>
      </c>
      <c r="P313" s="161" t="str" cm="1">
        <f t="array" ref="P313">IF(AND(COUNTIF(Suspect_Categories,$E313)&gt;0,SUMPRODUCT(--ISNUMBER(SEARCH(Suspect_Keywords,$I313&amp;" "&amp;$J313)))&gt;0),"Yes","No")</f>
        <v>No</v>
      </c>
      <c r="Q313" s="161" t="str">
        <f t="shared" si="2"/>
        <v>No</v>
      </c>
    </row>
    <row r="314" spans="1:17" x14ac:dyDescent="0.3">
      <c r="A314" s="11"/>
      <c r="B314" s="157" cm="1">
        <f t="array" ref="B314">INDEX(tbl_Ledger[Row ID],ROWS($B$27:$B314))</f>
        <v>288</v>
      </c>
      <c r="C314" s="158" cm="1">
        <f t="array" ref="C314">INDEX(tbl_Ledger[Date],ROWS($B$27:$B314))</f>
        <v>46255</v>
      </c>
      <c r="D314" s="157" t="str" cm="1">
        <f t="array" ref="D314">IF(INDEX(tbl_Ledger[Invoice Number],ROWS($B$27:$B314))="","",INDEX(tbl_Ledger[Invoice Number],ROWS($B$27:$B314)))</f>
        <v>SIN-2026-0116</v>
      </c>
      <c r="E314" s="157" t="str" cm="1">
        <f t="array" ref="E314">INDEX(tbl_Ledger[Tax Category],ROWS($B$27:$B314))</f>
        <v>IN_STD</v>
      </c>
      <c r="F314" s="157" t="str" cm="1">
        <f t="array" ref="F314">INDEX(tbl_Ledger[Direction],ROWS($B$27:$B314))</f>
        <v>Outflow</v>
      </c>
      <c r="G314" s="159" cm="1">
        <f t="array" ref="G314">INDEX(tbl_Ledger[Tax Charged on Invoice],ROWS($B$27:$B314))</f>
        <v>5046.3999999999996</v>
      </c>
      <c r="H314" s="159" cm="1">
        <f t="array" ref="H314">INDEX(tbl_Ledger[Expected Total Tax],ROWS($B$27:$B314))</f>
        <v>5046.3999999999996</v>
      </c>
      <c r="I314" s="159" t="str" cm="1">
        <f t="array" ref="I314">INDEX(tbl_Ledger[Description],ROWS($B$27:$B314))</f>
        <v>Fleet servicing and workshop labour</v>
      </c>
      <c r="J314" s="159" t="str" cm="1">
        <f t="array" ref="J314">INDEX(tbl_Ledger[Counterparty],ROWS($B$27:$B314))</f>
        <v>Adom Telecom Ghana Ltd</v>
      </c>
      <c r="K314" s="160" t="str">
        <f>IF(COUNTIF(Dup_Exclusions,$E314)&gt;0,"No","Yes")</f>
        <v>Yes</v>
      </c>
      <c r="L314" s="161" t="str">
        <f>IF(AND($D314="",COUNTIF(NoInv_Exempt,$E314)=0),"Yes","No")</f>
        <v>No</v>
      </c>
      <c r="M314" s="161" t="str" cm="1">
        <f t="array" ref="M314">IF(AND($D314&lt;&gt;"",$K314="Yes"),IF(SUMPRODUCT((tbl_Ledger[Invoice Number]=$D314)*(COUNTIF(Dup_Exclusions,tbl_Ledger[Tax Category])=0))&gt;1,"Yes","No"),"No")</f>
        <v>No</v>
      </c>
      <c r="N314" s="161" t="str">
        <f>IF(ABS($G314-$H314)&gt;Tax_Tolerance,"Yes","No")</f>
        <v>No</v>
      </c>
      <c r="O314" s="161" t="str">
        <f>IF(OR(AND($F314="Inflow",LEFT($E314,LEN(Prefix_Outflow))=Prefix_Outflow),AND($F314="Outflow",LEFT($E314,LEN(Prefix_Inflow))=Prefix_Inflow)),"Yes","No")</f>
        <v>No</v>
      </c>
      <c r="P314" s="161" t="str" cm="1">
        <f t="array" ref="P314">IF(AND(COUNTIF(Suspect_Categories,$E314)&gt;0,SUMPRODUCT(--ISNUMBER(SEARCH(Suspect_Keywords,$I314&amp;" "&amp;$J314)))&gt;0),"Yes","No")</f>
        <v>No</v>
      </c>
      <c r="Q314" s="161" t="str">
        <f t="shared" si="2"/>
        <v>No</v>
      </c>
    </row>
    <row r="315" spans="1:17" x14ac:dyDescent="0.3">
      <c r="A315" s="11"/>
      <c r="B315" s="157" cm="1">
        <f t="array" ref="B315">INDEX(tbl_Ledger[Row ID],ROWS($B$27:$B315))</f>
        <v>289</v>
      </c>
      <c r="C315" s="158" cm="1">
        <f t="array" ref="C315">INDEX(tbl_Ledger[Date],ROWS($B$27:$B315))</f>
        <v>46256</v>
      </c>
      <c r="D315" s="157" t="str" cm="1">
        <f t="array" ref="D315">IF(INDEX(tbl_Ledger[Invoice Number],ROWS($B$27:$B315))="","",INDEX(tbl_Ledger[Invoice Number],ROWS($B$27:$B315)))</f>
        <v>SIN-2026-0117</v>
      </c>
      <c r="E315" s="157" t="str" cm="1">
        <f t="array" ref="E315">INDEX(tbl_Ledger[Tax Category],ROWS($B$27:$B315))</f>
        <v>IN_EXEMPT</v>
      </c>
      <c r="F315" s="157" t="str" cm="1">
        <f t="array" ref="F315">INDEX(tbl_Ledger[Direction],ROWS($B$27:$B315))</f>
        <v>Outflow</v>
      </c>
      <c r="G315" s="159" cm="1">
        <f t="array" ref="G315">INDEX(tbl_Ledger[Tax Charged on Invoice],ROWS($B$27:$B315))</f>
        <v>0</v>
      </c>
      <c r="H315" s="159" cm="1">
        <f t="array" ref="H315">INDEX(tbl_Ledger[Expected Total Tax],ROWS($B$27:$B315))</f>
        <v>0</v>
      </c>
      <c r="I315" s="159" t="str" cm="1">
        <f t="array" ref="I315">INDEX(tbl_Ledger[Description],ROWS($B$27:$B315))</f>
        <v>Diesel (AGO) purchased for own fleet use, 20,972 litres</v>
      </c>
      <c r="J315" s="159" t="str" cm="1">
        <f t="array" ref="J315">INDEX(tbl_Ledger[Counterparty],ROWS($B$27:$B315))</f>
        <v>Zenith Fuel Depot Ltd</v>
      </c>
      <c r="K315" s="160" t="str">
        <f>IF(COUNTIF(Dup_Exclusions,$E315)&gt;0,"No","Yes")</f>
        <v>Yes</v>
      </c>
      <c r="L315" s="161" t="str">
        <f>IF(AND($D315="",COUNTIF(NoInv_Exempt,$E315)=0),"Yes","No")</f>
        <v>No</v>
      </c>
      <c r="M315" s="161" t="str" cm="1">
        <f t="array" ref="M315">IF(AND($D315&lt;&gt;"",$K315="Yes"),IF(SUMPRODUCT((tbl_Ledger[Invoice Number]=$D315)*(COUNTIF(Dup_Exclusions,tbl_Ledger[Tax Category])=0))&gt;1,"Yes","No"),"No")</f>
        <v>No</v>
      </c>
      <c r="N315" s="161" t="str">
        <f>IF(ABS($G315-$H315)&gt;Tax_Tolerance,"Yes","No")</f>
        <v>No</v>
      </c>
      <c r="O315" s="161" t="str">
        <f>IF(OR(AND($F315="Inflow",LEFT($E315,LEN(Prefix_Outflow))=Prefix_Outflow),AND($F315="Outflow",LEFT($E315,LEN(Prefix_Inflow))=Prefix_Inflow)),"Yes","No")</f>
        <v>No</v>
      </c>
      <c r="P315" s="161" t="str" cm="1">
        <f t="array" ref="P315">IF(AND(COUNTIF(Suspect_Categories,$E315)&gt;0,SUMPRODUCT(--ISNUMBER(SEARCH(Suspect_Keywords,$I315&amp;" "&amp;$J315)))&gt;0),"Yes","No")</f>
        <v>No</v>
      </c>
      <c r="Q315" s="161" t="str">
        <f t="shared" si="2"/>
        <v>No</v>
      </c>
    </row>
    <row r="316" spans="1:17" x14ac:dyDescent="0.3">
      <c r="A316" s="11"/>
      <c r="B316" s="157" cm="1">
        <f t="array" ref="B316">INDEX(tbl_Ledger[Row ID],ROWS($B$27:$B316))</f>
        <v>290</v>
      </c>
      <c r="C316" s="158" cm="1">
        <f t="array" ref="C316">INDEX(tbl_Ledger[Date],ROWS($B$27:$B316))</f>
        <v>46258</v>
      </c>
      <c r="D316" s="157" t="str" cm="1">
        <f t="array" ref="D316">IF(INDEX(tbl_Ledger[Invoice Number],ROWS($B$27:$B316))="","",INDEX(tbl_Ledger[Invoice Number],ROWS($B$27:$B316)))</f>
        <v>NHL-2026-0109</v>
      </c>
      <c r="E316" s="157" t="str" cm="1">
        <f t="array" ref="E316">INDEX(tbl_Ledger[Tax Category],ROWS($B$27:$B316))</f>
        <v>OUT_STD</v>
      </c>
      <c r="F316" s="157" t="str" cm="1">
        <f t="array" ref="F316">INDEX(tbl_Ledger[Direction],ROWS($B$27:$B316))</f>
        <v>Inflow</v>
      </c>
      <c r="G316" s="159" cm="1">
        <f t="array" ref="G316">INDEX(tbl_Ledger[Tax Charged on Invoice],ROWS($B$27:$B316))</f>
        <v>13269.8</v>
      </c>
      <c r="H316" s="159" cm="1">
        <f t="array" ref="H316">INDEX(tbl_Ledger[Expected Total Tax],ROWS($B$27:$B316))</f>
        <v>13269.800000000001</v>
      </c>
      <c r="I316" s="159" t="str" cm="1">
        <f t="array" ref="I316">INDEX(tbl_Ledger[Description],ROWS($B$27:$B316))</f>
        <v>Bulk haulage of AGO, Tema-Kumasi, 3 trips</v>
      </c>
      <c r="J316" s="159" t="str" cm="1">
        <f t="array" ref="J316">INDEX(tbl_Ledger[Counterparty],ROWS($B$27:$B316))</f>
        <v>Volta Star Fuels Ltd</v>
      </c>
      <c r="K316" s="160" t="str">
        <f>IF(COUNTIF(Dup_Exclusions,$E316)&gt;0,"No","Yes")</f>
        <v>Yes</v>
      </c>
      <c r="L316" s="161" t="str">
        <f>IF(AND($D316="",COUNTIF(NoInv_Exempt,$E316)=0),"Yes","No")</f>
        <v>No</v>
      </c>
      <c r="M316" s="161" t="str" cm="1">
        <f t="array" ref="M316">IF(AND($D316&lt;&gt;"",$K316="Yes"),IF(SUMPRODUCT((tbl_Ledger[Invoice Number]=$D316)*(COUNTIF(Dup_Exclusions,tbl_Ledger[Tax Category])=0))&gt;1,"Yes","No"),"No")</f>
        <v>No</v>
      </c>
      <c r="N316" s="161" t="str">
        <f>IF(ABS($G316-$H316)&gt;Tax_Tolerance,"Yes","No")</f>
        <v>No</v>
      </c>
      <c r="O316" s="161" t="str">
        <f>IF(OR(AND($F316="Inflow",LEFT($E316,LEN(Prefix_Outflow))=Prefix_Outflow),AND($F316="Outflow",LEFT($E316,LEN(Prefix_Inflow))=Prefix_Inflow)),"Yes","No")</f>
        <v>No</v>
      </c>
      <c r="P316" s="161" t="str" cm="1">
        <f t="array" ref="P316">IF(AND(COUNTIF(Suspect_Categories,$E316)&gt;0,SUMPRODUCT(--ISNUMBER(SEARCH(Suspect_Keywords,$I316&amp;" "&amp;$J316)))&gt;0),"Yes","No")</f>
        <v>No</v>
      </c>
      <c r="Q316" s="161" t="str">
        <f t="shared" si="2"/>
        <v>No</v>
      </c>
    </row>
    <row r="317" spans="1:17" x14ac:dyDescent="0.3">
      <c r="A317" s="11"/>
      <c r="B317" s="157" cm="1">
        <f t="array" ref="B317">INDEX(tbl_Ledger[Row ID],ROWS($B$27:$B317))</f>
        <v>291</v>
      </c>
      <c r="C317" s="158" cm="1">
        <f t="array" ref="C317">INDEX(tbl_Ledger[Date],ROWS($B$27:$B317))</f>
        <v>46259</v>
      </c>
      <c r="D317" s="157" t="str" cm="1">
        <f t="array" ref="D317">IF(INDEX(tbl_Ledger[Invoice Number],ROWS($B$27:$B317))="","",INDEX(tbl_Ledger[Invoice Number],ROWS($B$27:$B317)))</f>
        <v>NHL-2026-0110</v>
      </c>
      <c r="E317" s="157" t="str" cm="1">
        <f t="array" ref="E317">INDEX(tbl_Ledger[Tax Category],ROWS($B$27:$B317))</f>
        <v>OUT_STD</v>
      </c>
      <c r="F317" s="157" t="str" cm="1">
        <f t="array" ref="F317">INDEX(tbl_Ledger[Direction],ROWS($B$27:$B317))</f>
        <v>Inflow</v>
      </c>
      <c r="G317" s="159" cm="1">
        <f t="array" ref="G317">INDEX(tbl_Ledger[Tax Charged on Invoice],ROWS($B$27:$B317))</f>
        <v>7573.4</v>
      </c>
      <c r="H317" s="159" cm="1">
        <f t="array" ref="H317">INDEX(tbl_Ledger[Expected Total Tax],ROWS($B$27:$B317))</f>
        <v>7573.4000000000005</v>
      </c>
      <c r="I317" s="159" t="str" cm="1">
        <f t="array" ref="I317">INDEX(tbl_Ledger[Description],ROWS($B$27:$B317))</f>
        <v>Bulk haulage of ATK, Tema-Takoradi, 6 trips</v>
      </c>
      <c r="J317" s="159" t="str" cm="1">
        <f t="array" ref="J317">INDEX(tbl_Ledger[Counterparty],ROWS($B$27:$B317))</f>
        <v>Northern Star BDC Ltd</v>
      </c>
      <c r="K317" s="160" t="str">
        <f>IF(COUNTIF(Dup_Exclusions,$E317)&gt;0,"No","Yes")</f>
        <v>Yes</v>
      </c>
      <c r="L317" s="161" t="str">
        <f>IF(AND($D317="",COUNTIF(NoInv_Exempt,$E317)=0),"Yes","No")</f>
        <v>No</v>
      </c>
      <c r="M317" s="161" t="str" cm="1">
        <f t="array" ref="M317">IF(AND($D317&lt;&gt;"",$K317="Yes"),IF(SUMPRODUCT((tbl_Ledger[Invoice Number]=$D317)*(COUNTIF(Dup_Exclusions,tbl_Ledger[Tax Category])=0))&gt;1,"Yes","No"),"No")</f>
        <v>No</v>
      </c>
      <c r="N317" s="161" t="str">
        <f>IF(ABS($G317-$H317)&gt;Tax_Tolerance,"Yes","No")</f>
        <v>No</v>
      </c>
      <c r="O317" s="161" t="str">
        <f>IF(OR(AND($F317="Inflow",LEFT($E317,LEN(Prefix_Outflow))=Prefix_Outflow),AND($F317="Outflow",LEFT($E317,LEN(Prefix_Inflow))=Prefix_Inflow)),"Yes","No")</f>
        <v>No</v>
      </c>
      <c r="P317" s="161" t="str" cm="1">
        <f t="array" ref="P317">IF(AND(COUNTIF(Suspect_Categories,$E317)&gt;0,SUMPRODUCT(--ISNUMBER(SEARCH(Suspect_Keywords,$I317&amp;" "&amp;$J317)))&gt;0),"Yes","No")</f>
        <v>No</v>
      </c>
      <c r="Q317" s="161" t="str">
        <f t="shared" si="2"/>
        <v>No</v>
      </c>
    </row>
    <row r="318" spans="1:17" x14ac:dyDescent="0.3">
      <c r="A318" s="11"/>
      <c r="B318" s="157" cm="1">
        <f t="array" ref="B318">INDEX(tbl_Ledger[Row ID],ROWS($B$27:$B318))</f>
        <v>292</v>
      </c>
      <c r="C318" s="158" cm="1">
        <f t="array" ref="C318">INDEX(tbl_Ledger[Date],ROWS($B$27:$B318))</f>
        <v>46261</v>
      </c>
      <c r="D318" s="157" t="str" cm="1">
        <f t="array" ref="D318">IF(INDEX(tbl_Ledger[Invoice Number],ROWS($B$27:$B318))="","",INDEX(tbl_Ledger[Invoice Number],ROWS($B$27:$B318)))</f>
        <v>SIN-2026-0118</v>
      </c>
      <c r="E318" s="157" t="str" cm="1">
        <f t="array" ref="E318">INDEX(tbl_Ledger[Tax Category],ROWS($B$27:$B318))</f>
        <v>IN_EXEMPT</v>
      </c>
      <c r="F318" s="157" t="str" cm="1">
        <f t="array" ref="F318">INDEX(tbl_Ledger[Direction],ROWS($B$27:$B318))</f>
        <v>Outflow</v>
      </c>
      <c r="G318" s="159" cm="1">
        <f t="array" ref="G318">INDEX(tbl_Ledger[Tax Charged on Invoice],ROWS($B$27:$B318))</f>
        <v>0</v>
      </c>
      <c r="H318" s="159" cm="1">
        <f t="array" ref="H318">INDEX(tbl_Ledger[Expected Total Tax],ROWS($B$27:$B318))</f>
        <v>0</v>
      </c>
      <c r="I318" s="159" t="str" cm="1">
        <f t="array" ref="I318">INDEX(tbl_Ledger[Description],ROWS($B$27:$B318))</f>
        <v>Diesel (AGO) purchased for own fleet use, 16,544 litres</v>
      </c>
      <c r="J318" s="159" t="str" cm="1">
        <f t="array" ref="J318">INDEX(tbl_Ledger[Counterparty],ROWS($B$27:$B318))</f>
        <v>Zenith Fuel Depot Ltd</v>
      </c>
      <c r="K318" s="160" t="str">
        <f>IF(COUNTIF(Dup_Exclusions,$E318)&gt;0,"No","Yes")</f>
        <v>Yes</v>
      </c>
      <c r="L318" s="161" t="str">
        <f>IF(AND($D318="",COUNTIF(NoInv_Exempt,$E318)=0),"Yes","No")</f>
        <v>No</v>
      </c>
      <c r="M318" s="161" t="str" cm="1">
        <f t="array" ref="M318">IF(AND($D318&lt;&gt;"",$K318="Yes"),IF(SUMPRODUCT((tbl_Ledger[Invoice Number]=$D318)*(COUNTIF(Dup_Exclusions,tbl_Ledger[Tax Category])=0))&gt;1,"Yes","No"),"No")</f>
        <v>No</v>
      </c>
      <c r="N318" s="161" t="str">
        <f>IF(ABS($G318-$H318)&gt;Tax_Tolerance,"Yes","No")</f>
        <v>No</v>
      </c>
      <c r="O318" s="161" t="str">
        <f>IF(OR(AND($F318="Inflow",LEFT($E318,LEN(Prefix_Outflow))=Prefix_Outflow),AND($F318="Outflow",LEFT($E318,LEN(Prefix_Inflow))=Prefix_Inflow)),"Yes","No")</f>
        <v>No</v>
      </c>
      <c r="P318" s="161" t="str" cm="1">
        <f t="array" ref="P318">IF(AND(COUNTIF(Suspect_Categories,$E318)&gt;0,SUMPRODUCT(--ISNUMBER(SEARCH(Suspect_Keywords,$I318&amp;" "&amp;$J318)))&gt;0),"Yes","No")</f>
        <v>No</v>
      </c>
      <c r="Q318" s="161" t="str">
        <f t="shared" si="2"/>
        <v>No</v>
      </c>
    </row>
    <row r="319" spans="1:17" x14ac:dyDescent="0.3">
      <c r="A319" s="11"/>
      <c r="B319" s="157" cm="1">
        <f t="array" ref="B319">INDEX(tbl_Ledger[Row ID],ROWS($B$27:$B319))</f>
        <v>293</v>
      </c>
      <c r="C319" s="158" cm="1">
        <f t="array" ref="C319">INDEX(tbl_Ledger[Date],ROWS($B$27:$B319))</f>
        <v>46261</v>
      </c>
      <c r="D319" s="157" t="str" cm="1">
        <f t="array" ref="D319">IF(INDEX(tbl_Ledger[Invoice Number],ROWS($B$27:$B319))="","",INDEX(tbl_Ledger[Invoice Number],ROWS($B$27:$B319)))</f>
        <v>NHL-2026-0111</v>
      </c>
      <c r="E319" s="157" t="str" cm="1">
        <f t="array" ref="E319">INDEX(tbl_Ledger[Tax Category],ROWS($B$27:$B319))</f>
        <v>OUT_STD</v>
      </c>
      <c r="F319" s="157" t="str" cm="1">
        <f t="array" ref="F319">INDEX(tbl_Ledger[Direction],ROWS($B$27:$B319))</f>
        <v>Inflow</v>
      </c>
      <c r="G319" s="159" cm="1">
        <f t="array" ref="G319">INDEX(tbl_Ledger[Tax Charged on Invoice],ROWS($B$27:$B319))</f>
        <v>14750.8</v>
      </c>
      <c r="H319" s="159" cm="1">
        <f t="array" ref="H319">INDEX(tbl_Ledger[Expected Total Tax],ROWS($B$27:$B319))</f>
        <v>14750.800000000001</v>
      </c>
      <c r="I319" s="159" t="str" cm="1">
        <f t="array" ref="I319">INDEX(tbl_Ledger[Description],ROWS($B$27:$B319))</f>
        <v>Bulk haulage of LPG, Tema-Takoradi, 5 trips</v>
      </c>
      <c r="J319" s="159" t="str" cm="1">
        <f t="array" ref="J319">INDEX(tbl_Ledger[Counterparty],ROWS($B$27:$B319))</f>
        <v>Obuasi Fuel Distributors Ltd</v>
      </c>
      <c r="K319" s="160" t="str">
        <f>IF(COUNTIF(Dup_Exclusions,$E319)&gt;0,"No","Yes")</f>
        <v>Yes</v>
      </c>
      <c r="L319" s="161" t="str">
        <f>IF(AND($D319="",COUNTIF(NoInv_Exempt,$E319)=0),"Yes","No")</f>
        <v>No</v>
      </c>
      <c r="M319" s="161" t="str" cm="1">
        <f t="array" ref="M319">IF(AND($D319&lt;&gt;"",$K319="Yes"),IF(SUMPRODUCT((tbl_Ledger[Invoice Number]=$D319)*(COUNTIF(Dup_Exclusions,tbl_Ledger[Tax Category])=0))&gt;1,"Yes","No"),"No")</f>
        <v>No</v>
      </c>
      <c r="N319" s="161" t="str">
        <f>IF(ABS($G319-$H319)&gt;Tax_Tolerance,"Yes","No")</f>
        <v>No</v>
      </c>
      <c r="O319" s="161" t="str">
        <f>IF(OR(AND($F319="Inflow",LEFT($E319,LEN(Prefix_Outflow))=Prefix_Outflow),AND($F319="Outflow",LEFT($E319,LEN(Prefix_Inflow))=Prefix_Inflow)),"Yes","No")</f>
        <v>No</v>
      </c>
      <c r="P319" s="161" t="str" cm="1">
        <f t="array" ref="P319">IF(AND(COUNTIF(Suspect_Categories,$E319)&gt;0,SUMPRODUCT(--ISNUMBER(SEARCH(Suspect_Keywords,$I319&amp;" "&amp;$J319)))&gt;0),"Yes","No")</f>
        <v>No</v>
      </c>
      <c r="Q319" s="161" t="str">
        <f t="shared" si="2"/>
        <v>No</v>
      </c>
    </row>
    <row r="320" spans="1:17" x14ac:dyDescent="0.3">
      <c r="A320" s="11"/>
      <c r="B320" s="157" cm="1">
        <f t="array" ref="B320">INDEX(tbl_Ledger[Row ID],ROWS($B$27:$B320))</f>
        <v>294</v>
      </c>
      <c r="C320" s="158" cm="1">
        <f t="array" ref="C320">INDEX(tbl_Ledger[Date],ROWS($B$27:$B320))</f>
        <v>46262</v>
      </c>
      <c r="D320" s="157" t="str" cm="1">
        <f t="array" ref="D320">IF(INDEX(tbl_Ledger[Invoice Number],ROWS($B$27:$B320))="","",INDEX(tbl_Ledger[Invoice Number],ROWS($B$27:$B320)))</f>
        <v>NHL-2026-0112</v>
      </c>
      <c r="E320" s="157" t="str" cm="1">
        <f t="array" ref="E320">INDEX(tbl_Ledger[Tax Category],ROWS($B$27:$B320))</f>
        <v>OUT_STD</v>
      </c>
      <c r="F320" s="157" t="str" cm="1">
        <f t="array" ref="F320">INDEX(tbl_Ledger[Direction],ROWS($B$27:$B320))</f>
        <v>Inflow</v>
      </c>
      <c r="G320" s="159" cm="1">
        <f t="array" ref="G320">INDEX(tbl_Ledger[Tax Charged on Invoice],ROWS($B$27:$B320))</f>
        <v>14746</v>
      </c>
      <c r="H320" s="159" cm="1">
        <f t="array" ref="H320">INDEX(tbl_Ledger[Expected Total Tax],ROWS($B$27:$B320))</f>
        <v>14746</v>
      </c>
      <c r="I320" s="159" t="str" cm="1">
        <f t="array" ref="I320">INDEX(tbl_Ledger[Description],ROWS($B$27:$B320))</f>
        <v>Bulk haulage of PMS, Takoradi-Tamale, 5 trips</v>
      </c>
      <c r="J320" s="159" t="str" cm="1">
        <f t="array" ref="J320">INDEX(tbl_Ledger[Counterparty],ROWS($B$27:$B320))</f>
        <v>Volta Star Fuels Ltd</v>
      </c>
      <c r="K320" s="160" t="str">
        <f>IF(COUNTIF(Dup_Exclusions,$E320)&gt;0,"No","Yes")</f>
        <v>Yes</v>
      </c>
      <c r="L320" s="161" t="str">
        <f>IF(AND($D320="",COUNTIF(NoInv_Exempt,$E320)=0),"Yes","No")</f>
        <v>No</v>
      </c>
      <c r="M320" s="161" t="str" cm="1">
        <f t="array" ref="M320">IF(AND($D320&lt;&gt;"",$K320="Yes"),IF(SUMPRODUCT((tbl_Ledger[Invoice Number]=$D320)*(COUNTIF(Dup_Exclusions,tbl_Ledger[Tax Category])=0))&gt;1,"Yes","No"),"No")</f>
        <v>No</v>
      </c>
      <c r="N320" s="161" t="str">
        <f>IF(ABS($G320-$H320)&gt;Tax_Tolerance,"Yes","No")</f>
        <v>No</v>
      </c>
      <c r="O320" s="161" t="str">
        <f>IF(OR(AND($F320="Inflow",LEFT($E320,LEN(Prefix_Outflow))=Prefix_Outflow),AND($F320="Outflow",LEFT($E320,LEN(Prefix_Inflow))=Prefix_Inflow)),"Yes","No")</f>
        <v>No</v>
      </c>
      <c r="P320" s="161" t="str" cm="1">
        <f t="array" ref="P320">IF(AND(COUNTIF(Suspect_Categories,$E320)&gt;0,SUMPRODUCT(--ISNUMBER(SEARCH(Suspect_Keywords,$I320&amp;" "&amp;$J320)))&gt;0),"Yes","No")</f>
        <v>No</v>
      </c>
      <c r="Q320" s="161" t="str">
        <f t="shared" si="2"/>
        <v>No</v>
      </c>
    </row>
    <row r="321" spans="1:17" x14ac:dyDescent="0.3">
      <c r="A321" s="11"/>
      <c r="B321" s="157" cm="1">
        <f t="array" ref="B321">INDEX(tbl_Ledger[Row ID],ROWS($B$27:$B321))</f>
        <v>295</v>
      </c>
      <c r="C321" s="158" cm="1">
        <f t="array" ref="C321">INDEX(tbl_Ledger[Date],ROWS($B$27:$B321))</f>
        <v>46263</v>
      </c>
      <c r="D321" s="157" t="str" cm="1">
        <f t="array" ref="D321">IF(INDEX(tbl_Ledger[Invoice Number],ROWS($B$27:$B321))="","",INDEX(tbl_Ledger[Invoice Number],ROWS($B$27:$B321)))</f>
        <v>SIN-2026-0119</v>
      </c>
      <c r="E321" s="157" t="str" cm="1">
        <f t="array" ref="E321">INDEX(tbl_Ledger[Tax Category],ROWS($B$27:$B321))</f>
        <v>IN_STD</v>
      </c>
      <c r="F321" s="157" t="str" cm="1">
        <f t="array" ref="F321">INDEX(tbl_Ledger[Direction],ROWS($B$27:$B321))</f>
        <v>Outflow</v>
      </c>
      <c r="G321" s="159" cm="1">
        <f t="array" ref="G321">INDEX(tbl_Ledger[Tax Charged on Invoice],ROWS($B$27:$B321))</f>
        <v>209</v>
      </c>
      <c r="H321" s="159" cm="1">
        <f t="array" ref="H321">INDEX(tbl_Ledger[Expected Total Tax],ROWS($B$27:$B321))</f>
        <v>209</v>
      </c>
      <c r="I321" s="159" t="str" cm="1">
        <f t="array" ref="I321">INDEX(tbl_Ledger[Description],ROWS($B$27:$B321))</f>
        <v>Mobile and data services</v>
      </c>
      <c r="J321" s="159" t="str" cm="1">
        <f t="array" ref="J321">INDEX(tbl_Ledger[Counterparty],ROWS($B$27:$B321))</f>
        <v>Greenfield IT Solutions Ltd</v>
      </c>
      <c r="K321" s="160" t="str">
        <f>IF(COUNTIF(Dup_Exclusions,$E321)&gt;0,"No","Yes")</f>
        <v>Yes</v>
      </c>
      <c r="L321" s="161" t="str">
        <f>IF(AND($D321="",COUNTIF(NoInv_Exempt,$E321)=0),"Yes","No")</f>
        <v>No</v>
      </c>
      <c r="M321" s="161" t="str" cm="1">
        <f t="array" ref="M321">IF(AND($D321&lt;&gt;"",$K321="Yes"),IF(SUMPRODUCT((tbl_Ledger[Invoice Number]=$D321)*(COUNTIF(Dup_Exclusions,tbl_Ledger[Tax Category])=0))&gt;1,"Yes","No"),"No")</f>
        <v>No</v>
      </c>
      <c r="N321" s="161" t="str">
        <f>IF(ABS($G321-$H321)&gt;Tax_Tolerance,"Yes","No")</f>
        <v>No</v>
      </c>
      <c r="O321" s="161" t="str">
        <f>IF(OR(AND($F321="Inflow",LEFT($E321,LEN(Prefix_Outflow))=Prefix_Outflow),AND($F321="Outflow",LEFT($E321,LEN(Prefix_Inflow))=Prefix_Inflow)),"Yes","No")</f>
        <v>No</v>
      </c>
      <c r="P321" s="161" t="str" cm="1">
        <f t="array" ref="P321">IF(AND(COUNTIF(Suspect_Categories,$E321)&gt;0,SUMPRODUCT(--ISNUMBER(SEARCH(Suspect_Keywords,$I321&amp;" "&amp;$J321)))&gt;0),"Yes","No")</f>
        <v>No</v>
      </c>
      <c r="Q321" s="161" t="str">
        <f t="shared" si="2"/>
        <v>No</v>
      </c>
    </row>
    <row r="322" spans="1:17" x14ac:dyDescent="0.3">
      <c r="A322" s="11"/>
      <c r="B322" s="157" cm="1">
        <f t="array" ref="B322">INDEX(tbl_Ledger[Row ID],ROWS($B$27:$B322))</f>
        <v>296</v>
      </c>
      <c r="C322" s="158" cm="1">
        <f t="array" ref="C322">INDEX(tbl_Ledger[Date],ROWS($B$27:$B322))</f>
        <v>46264</v>
      </c>
      <c r="D322" s="157" t="str" cm="1">
        <f t="array" ref="D322">IF(INDEX(tbl_Ledger[Invoice Number],ROWS($B$27:$B322))="","",INDEX(tbl_Ledger[Invoice Number],ROWS($B$27:$B322)))</f>
        <v>BNK-2026-0024</v>
      </c>
      <c r="E322" s="157" t="str" cm="1">
        <f t="array" ref="E322">INDEX(tbl_Ledger[Tax Category],ROWS($B$27:$B322))</f>
        <v>IN_EXEMPT</v>
      </c>
      <c r="F322" s="157" t="str" cm="1">
        <f t="array" ref="F322">INDEX(tbl_Ledger[Direction],ROWS($B$27:$B322))</f>
        <v>Outflow</v>
      </c>
      <c r="G322" s="159" cm="1">
        <f t="array" ref="G322">INDEX(tbl_Ledger[Tax Charged on Invoice],ROWS($B$27:$B322))</f>
        <v>0</v>
      </c>
      <c r="H322" s="159" cm="1">
        <f t="array" ref="H322">INDEX(tbl_Ledger[Expected Total Tax],ROWS($B$27:$B322))</f>
        <v>0</v>
      </c>
      <c r="I322" s="159" t="str" cm="1">
        <f t="array" ref="I322">INDEX(tbl_Ledger[Description],ROWS($B$27:$B322))</f>
        <v>Cheque book and facility fees</v>
      </c>
      <c r="J322" s="159" t="str" cm="1">
        <f t="array" ref="J322">INDEX(tbl_Ledger[Counterparty],ROWS($B$27:$B322))</f>
        <v>Trust Union Bank Ltd</v>
      </c>
      <c r="K322" s="160" t="str">
        <f>IF(COUNTIF(Dup_Exclusions,$E322)&gt;0,"No","Yes")</f>
        <v>Yes</v>
      </c>
      <c r="L322" s="161" t="str">
        <f>IF(AND($D322="",COUNTIF(NoInv_Exempt,$E322)=0),"Yes","No")</f>
        <v>No</v>
      </c>
      <c r="M322" s="161" t="str" cm="1">
        <f t="array" ref="M322">IF(AND($D322&lt;&gt;"",$K322="Yes"),IF(SUMPRODUCT((tbl_Ledger[Invoice Number]=$D322)*(COUNTIF(Dup_Exclusions,tbl_Ledger[Tax Category])=0))&gt;1,"Yes","No"),"No")</f>
        <v>No</v>
      </c>
      <c r="N322" s="161" t="str">
        <f>IF(ABS($G322-$H322)&gt;Tax_Tolerance,"Yes","No")</f>
        <v>No</v>
      </c>
      <c r="O322" s="161" t="str">
        <f>IF(OR(AND($F322="Inflow",LEFT($E322,LEN(Prefix_Outflow))=Prefix_Outflow),AND($F322="Outflow",LEFT($E322,LEN(Prefix_Inflow))=Prefix_Inflow)),"Yes","No")</f>
        <v>No</v>
      </c>
      <c r="P322" s="161" t="str" cm="1">
        <f t="array" ref="P322">IF(AND(COUNTIF(Suspect_Categories,$E322)&gt;0,SUMPRODUCT(--ISNUMBER(SEARCH(Suspect_Keywords,$I322&amp;" "&amp;$J322)))&gt;0),"Yes","No")</f>
        <v>No</v>
      </c>
      <c r="Q322" s="161" t="str">
        <f t="shared" si="2"/>
        <v>No</v>
      </c>
    </row>
    <row r="323" spans="1:17" x14ac:dyDescent="0.3">
      <c r="A323" s="11"/>
      <c r="B323" s="157" cm="1">
        <f t="array" ref="B323">INDEX(tbl_Ledger[Row ID],ROWS($B$27:$B323))</f>
        <v>297</v>
      </c>
      <c r="C323" s="158" cm="1">
        <f t="array" ref="C323">INDEX(tbl_Ledger[Date],ROWS($B$27:$B323))</f>
        <v>46264</v>
      </c>
      <c r="D323" s="157" t="str" cm="1">
        <f t="array" ref="D323">IF(INDEX(tbl_Ledger[Invoice Number],ROWS($B$27:$B323))="","",INDEX(tbl_Ledger[Invoice Number],ROWS($B$27:$B323)))</f>
        <v>SIN-2026-0120</v>
      </c>
      <c r="E323" s="157" t="str" cm="1">
        <f t="array" ref="E323">INDEX(tbl_Ledger[Tax Category],ROWS($B$27:$B323))</f>
        <v>IN_EXEMPT</v>
      </c>
      <c r="F323" s="157" t="str" cm="1">
        <f t="array" ref="F323">INDEX(tbl_Ledger[Direction],ROWS($B$27:$B323))</f>
        <v>Outflow</v>
      </c>
      <c r="G323" s="159" cm="1">
        <f t="array" ref="G323">INDEX(tbl_Ledger[Tax Charged on Invoice],ROWS($B$27:$B323))</f>
        <v>0</v>
      </c>
      <c r="H323" s="159" cm="1">
        <f t="array" ref="H323">INDEX(tbl_Ledger[Expected Total Tax],ROWS($B$27:$B323))</f>
        <v>0</v>
      </c>
      <c r="I323" s="159" t="str" cm="1">
        <f t="array" ref="I323">INDEX(tbl_Ledger[Description],ROWS($B$27:$B323))</f>
        <v>Goods-in-transit insurance premium</v>
      </c>
      <c r="J323" s="159" t="str" cm="1">
        <f t="array" ref="J323">INDEX(tbl_Ledger[Counterparty],ROWS($B$27:$B323))</f>
        <v>Unity Assurance Ltd</v>
      </c>
      <c r="K323" s="160" t="str">
        <f>IF(COUNTIF(Dup_Exclusions,$E323)&gt;0,"No","Yes")</f>
        <v>Yes</v>
      </c>
      <c r="L323" s="161" t="str">
        <f>IF(AND($D323="",COUNTIF(NoInv_Exempt,$E323)=0),"Yes","No")</f>
        <v>No</v>
      </c>
      <c r="M323" s="161" t="str" cm="1">
        <f t="array" ref="M323">IF(AND($D323&lt;&gt;"",$K323="Yes"),IF(SUMPRODUCT((tbl_Ledger[Invoice Number]=$D323)*(COUNTIF(Dup_Exclusions,tbl_Ledger[Tax Category])=0))&gt;1,"Yes","No"),"No")</f>
        <v>No</v>
      </c>
      <c r="N323" s="161" t="str">
        <f>IF(ABS($G323-$H323)&gt;Tax_Tolerance,"Yes","No")</f>
        <v>No</v>
      </c>
      <c r="O323" s="161" t="str">
        <f>IF(OR(AND($F323="Inflow",LEFT($E323,LEN(Prefix_Outflow))=Prefix_Outflow),AND($F323="Outflow",LEFT($E323,LEN(Prefix_Inflow))=Prefix_Inflow)),"Yes","No")</f>
        <v>No</v>
      </c>
      <c r="P323" s="161" t="str" cm="1">
        <f t="array" ref="P323">IF(AND(COUNTIF(Suspect_Categories,$E323)&gt;0,SUMPRODUCT(--ISNUMBER(SEARCH(Suspect_Keywords,$I323&amp;" "&amp;$J323)))&gt;0),"Yes","No")</f>
        <v>No</v>
      </c>
      <c r="Q323" s="161" t="str">
        <f t="shared" si="2"/>
        <v>No</v>
      </c>
    </row>
    <row r="324" spans="1:17" x14ac:dyDescent="0.3">
      <c r="A324" s="11"/>
      <c r="B324" s="157" cm="1">
        <f t="array" ref="B324">INDEX(tbl_Ledger[Row ID],ROWS($B$27:$B324))</f>
        <v>298</v>
      </c>
      <c r="C324" s="158" cm="1">
        <f t="array" ref="C324">INDEX(tbl_Ledger[Date],ROWS($B$27:$B324))</f>
        <v>46265</v>
      </c>
      <c r="D324" s="157" t="str" cm="1">
        <f t="array" ref="D324">IF(INDEX(tbl_Ledger[Invoice Number],ROWS($B$27:$B324))="","",INDEX(tbl_Ledger[Invoice Number],ROWS($B$27:$B324)))</f>
        <v>SIN-2026-0121</v>
      </c>
      <c r="E324" s="157" t="str" cm="1">
        <f t="array" ref="E324">INDEX(tbl_Ledger[Tax Category],ROWS($B$27:$B324))</f>
        <v>IN_STD</v>
      </c>
      <c r="F324" s="157" t="str" cm="1">
        <f t="array" ref="F324">INDEX(tbl_Ledger[Direction],ROWS($B$27:$B324))</f>
        <v>Outflow</v>
      </c>
      <c r="G324" s="159" cm="1">
        <f t="array" ref="G324">INDEX(tbl_Ledger[Tax Charged on Invoice],ROWS($B$27:$B324))</f>
        <v>6079</v>
      </c>
      <c r="H324" s="159" cm="1">
        <f t="array" ref="H324">INDEX(tbl_Ledger[Expected Total Tax],ROWS($B$27:$B324))</f>
        <v>6079</v>
      </c>
      <c r="I324" s="159" t="str" cm="1">
        <f t="array" ref="I324">INDEX(tbl_Ledger[Description],ROWS($B$27:$B324))</f>
        <v>Replacement tyres for prime movers</v>
      </c>
      <c r="J324" s="159" t="str" cm="1">
        <f t="array" ref="J324">INDEX(tbl_Ledger[Counterparty],ROWS($B$27:$B324))</f>
        <v>Bono Workshop Services Ltd</v>
      </c>
      <c r="K324" s="160" t="str">
        <f>IF(COUNTIF(Dup_Exclusions,$E324)&gt;0,"No","Yes")</f>
        <v>Yes</v>
      </c>
      <c r="L324" s="161" t="str">
        <f>IF(AND($D324="",COUNTIF(NoInv_Exempt,$E324)=0),"Yes","No")</f>
        <v>No</v>
      </c>
      <c r="M324" s="161" t="str" cm="1">
        <f t="array" ref="M324">IF(AND($D324&lt;&gt;"",$K324="Yes"),IF(SUMPRODUCT((tbl_Ledger[Invoice Number]=$D324)*(COUNTIF(Dup_Exclusions,tbl_Ledger[Tax Category])=0))&gt;1,"Yes","No"),"No")</f>
        <v>No</v>
      </c>
      <c r="N324" s="161" t="str">
        <f>IF(ABS($G324-$H324)&gt;Tax_Tolerance,"Yes","No")</f>
        <v>No</v>
      </c>
      <c r="O324" s="161" t="str">
        <f>IF(OR(AND($F324="Inflow",LEFT($E324,LEN(Prefix_Outflow))=Prefix_Outflow),AND($F324="Outflow",LEFT($E324,LEN(Prefix_Inflow))=Prefix_Inflow)),"Yes","No")</f>
        <v>No</v>
      </c>
      <c r="P324" s="161" t="str" cm="1">
        <f t="array" ref="P324">IF(AND(COUNTIF(Suspect_Categories,$E324)&gt;0,SUMPRODUCT(--ISNUMBER(SEARCH(Suspect_Keywords,$I324&amp;" "&amp;$J324)))&gt;0),"Yes","No")</f>
        <v>No</v>
      </c>
      <c r="Q324" s="161" t="str">
        <f t="shared" si="2"/>
        <v>No</v>
      </c>
    </row>
    <row r="325" spans="1:17" x14ac:dyDescent="0.3">
      <c r="A325" s="11"/>
      <c r="B325" s="157" cm="1">
        <f t="array" ref="B325">INDEX(tbl_Ledger[Row ID],ROWS($B$27:$B325))</f>
        <v>299</v>
      </c>
      <c r="C325" s="158" cm="1">
        <f t="array" ref="C325">INDEX(tbl_Ledger[Date],ROWS($B$27:$B325))</f>
        <v>46265</v>
      </c>
      <c r="D325" s="157" t="str" cm="1">
        <f t="array" ref="D325">IF(INDEX(tbl_Ledger[Invoice Number],ROWS($B$27:$B325))="","",INDEX(tbl_Ledger[Invoice Number],ROWS($B$27:$B325)))</f>
        <v>PAY-2026-0008</v>
      </c>
      <c r="E325" s="157" t="str" cm="1">
        <f t="array" ref="E325">INDEX(tbl_Ledger[Tax Category],ROWS($B$27:$B325))</f>
        <v>NO_VAT</v>
      </c>
      <c r="F325" s="157" t="str" cm="1">
        <f t="array" ref="F325">INDEX(tbl_Ledger[Direction],ROWS($B$27:$B325))</f>
        <v>Outflow</v>
      </c>
      <c r="G325" s="159" cm="1">
        <f t="array" ref="G325">INDEX(tbl_Ledger[Tax Charged on Invoice],ROWS($B$27:$B325))</f>
        <v>0</v>
      </c>
      <c r="H325" s="159" cm="1">
        <f t="array" ref="H325">INDEX(tbl_Ledger[Expected Total Tax],ROWS($B$27:$B325))</f>
        <v>0</v>
      </c>
      <c r="I325" s="159" t="str" cm="1">
        <f t="array" ref="I325">INDEX(tbl_Ledger[Description],ROWS($B$27:$B325))</f>
        <v>Staff salaries and wages - August</v>
      </c>
      <c r="J325" s="159" t="str" cm="1">
        <f t="array" ref="J325">INDEX(tbl_Ledger[Counterparty],ROWS($B$27:$B325))</f>
        <v>Nkabom Haulage Payroll</v>
      </c>
      <c r="K325" s="160" t="str">
        <f>IF(COUNTIF(Dup_Exclusions,$E325)&gt;0,"No","Yes")</f>
        <v>Yes</v>
      </c>
      <c r="L325" s="161" t="str">
        <f>IF(AND($D325="",COUNTIF(NoInv_Exempt,$E325)=0),"Yes","No")</f>
        <v>No</v>
      </c>
      <c r="M325" s="161" t="str" cm="1">
        <f t="array" ref="M325">IF(AND($D325&lt;&gt;"",$K325="Yes"),IF(SUMPRODUCT((tbl_Ledger[Invoice Number]=$D325)*(COUNTIF(Dup_Exclusions,tbl_Ledger[Tax Category])=0))&gt;1,"Yes","No"),"No")</f>
        <v>No</v>
      </c>
      <c r="N325" s="161" t="str">
        <f>IF(ABS($G325-$H325)&gt;Tax_Tolerance,"Yes","No")</f>
        <v>No</v>
      </c>
      <c r="O325" s="161" t="str">
        <f>IF(OR(AND($F325="Inflow",LEFT($E325,LEN(Prefix_Outflow))=Prefix_Outflow),AND($F325="Outflow",LEFT($E325,LEN(Prefix_Inflow))=Prefix_Inflow)),"Yes","No")</f>
        <v>No</v>
      </c>
      <c r="P325" s="161" t="str" cm="1">
        <f t="array" ref="P325">IF(AND(COUNTIF(Suspect_Categories,$E325)&gt;0,SUMPRODUCT(--ISNUMBER(SEARCH(Suspect_Keywords,$I325&amp;" "&amp;$J325)))&gt;0),"Yes","No")</f>
        <v>No</v>
      </c>
      <c r="Q325" s="161" t="str">
        <f t="shared" si="2"/>
        <v>No</v>
      </c>
    </row>
    <row r="326" spans="1:17" x14ac:dyDescent="0.3">
      <c r="A326" s="11"/>
      <c r="B326" s="162" cm="1">
        <f t="array" ref="B326">INDEX(tbl_Ledger[Row ID],ROWS($B$27:$B326))</f>
        <v>300</v>
      </c>
      <c r="C326" s="163" cm="1">
        <f t="array" ref="C326">INDEX(tbl_Ledger[Date],ROWS($B$27:$B326))</f>
        <v>46265</v>
      </c>
      <c r="D326" s="162" t="str" cm="1">
        <f t="array" ref="D326">IF(INDEX(tbl_Ledger[Invoice Number],ROWS($B$27:$B326))="","",INDEX(tbl_Ledger[Invoice Number],ROWS($B$27:$B326)))</f>
        <v>NHL-2026-0113</v>
      </c>
      <c r="E326" s="162" t="str" cm="1">
        <f t="array" ref="E326">INDEX(tbl_Ledger[Tax Category],ROWS($B$27:$B326))</f>
        <v>OUT_STD</v>
      </c>
      <c r="F326" s="162" t="str" cm="1">
        <f t="array" ref="F326">INDEX(tbl_Ledger[Direction],ROWS($B$27:$B326))</f>
        <v>Inflow</v>
      </c>
      <c r="G326" s="164" cm="1">
        <f t="array" ref="G326">INDEX(tbl_Ledger[Tax Charged on Invoice],ROWS($B$27:$B326))</f>
        <v>6667.4</v>
      </c>
      <c r="H326" s="164" cm="1">
        <f t="array" ref="H326">INDEX(tbl_Ledger[Expected Total Tax],ROWS($B$27:$B326))</f>
        <v>6667.4000000000005</v>
      </c>
      <c r="I326" s="164" t="str" cm="1">
        <f t="array" ref="I326">INDEX(tbl_Ledger[Description],ROWS($B$27:$B326))</f>
        <v>Bulk haulage of LPG, Tema-Ho, 3 trips</v>
      </c>
      <c r="J326" s="164" t="str" cm="1">
        <f t="array" ref="J326">INDEX(tbl_Ledger[Counterparty],ROWS($B$27:$B326))</f>
        <v>Golden Harmattan Energy Ltd</v>
      </c>
      <c r="K326" s="165" t="str">
        <f>IF(COUNTIF(Dup_Exclusions,$E326)&gt;0,"No","Yes")</f>
        <v>Yes</v>
      </c>
      <c r="L326" s="166" t="str">
        <f>IF(AND($D326="",COUNTIF(NoInv_Exempt,$E326)=0),"Yes","No")</f>
        <v>No</v>
      </c>
      <c r="M326" s="166" t="str" cm="1">
        <f t="array" ref="M326">IF(AND($D326&lt;&gt;"",$K326="Yes"),IF(SUMPRODUCT((tbl_Ledger[Invoice Number]=$D326)*(COUNTIF(Dup_Exclusions,tbl_Ledger[Tax Category])=0))&gt;1,"Yes","No"),"No")</f>
        <v>No</v>
      </c>
      <c r="N326" s="166" t="str">
        <f>IF(ABS($G326-$H326)&gt;Tax_Tolerance,"Yes","No")</f>
        <v>No</v>
      </c>
      <c r="O326" s="166" t="str">
        <f>IF(OR(AND($F326="Inflow",LEFT($E326,LEN(Prefix_Outflow))=Prefix_Outflow),AND($F326="Outflow",LEFT($E326,LEN(Prefix_Inflow))=Prefix_Inflow)),"Yes","No")</f>
        <v>No</v>
      </c>
      <c r="P326" s="166" t="str" cm="1">
        <f t="array" ref="P326">IF(AND(COUNTIF(Suspect_Categories,$E326)&gt;0,SUMPRODUCT(--ISNUMBER(SEARCH(Suspect_Keywords,$I326&amp;" "&amp;$J326)))&gt;0),"Yes","No")</f>
        <v>No</v>
      </c>
      <c r="Q326" s="166" t="str">
        <f t="shared" si="2"/>
        <v>No</v>
      </c>
    </row>
    <row r="327" spans="1:17" x14ac:dyDescent="0.3">
      <c r="A327" s="11"/>
      <c r="B327" s="11"/>
      <c r="C327" s="11"/>
      <c r="D327" s="11"/>
      <c r="E327" s="11"/>
      <c r="F327" s="11"/>
      <c r="G327" s="11"/>
      <c r="H327" s="11"/>
      <c r="I327" s="11"/>
      <c r="J327" s="11"/>
      <c r="K327" s="11"/>
      <c r="L327" s="11"/>
      <c r="M327" s="11"/>
      <c r="N327" s="11"/>
      <c r="O327" s="11"/>
      <c r="P327" s="11"/>
      <c r="Q327" s="11"/>
    </row>
    <row r="328" spans="1:17" x14ac:dyDescent="0.3">
      <c r="A328" s="11"/>
      <c r="B328" s="11"/>
      <c r="C328" s="11"/>
      <c r="D328" s="11"/>
      <c r="E328" s="11"/>
      <c r="F328" s="11"/>
      <c r="G328" s="11"/>
      <c r="H328" s="11"/>
      <c r="I328" s="11"/>
      <c r="J328" s="11"/>
      <c r="K328" s="11"/>
      <c r="L328" s="11"/>
      <c r="M328" s="11"/>
      <c r="N328" s="11"/>
      <c r="O328" s="11"/>
      <c r="P328" s="11"/>
      <c r="Q328" s="11"/>
    </row>
    <row r="329" spans="1:17" x14ac:dyDescent="0.3">
      <c r="A329" s="11"/>
      <c r="B329" s="11"/>
      <c r="C329" s="11"/>
      <c r="D329" s="11"/>
      <c r="E329" s="11"/>
      <c r="F329" s="11"/>
      <c r="G329" s="11"/>
      <c r="H329" s="11"/>
      <c r="I329" s="11"/>
      <c r="J329" s="11"/>
      <c r="K329" s="11"/>
      <c r="L329" s="11"/>
      <c r="M329" s="11"/>
      <c r="N329" s="11"/>
      <c r="O329" s="11"/>
      <c r="P329" s="11"/>
      <c r="Q329" s="11"/>
    </row>
    <row r="330" spans="1:17" x14ac:dyDescent="0.3">
      <c r="A330" s="11"/>
      <c r="B330" s="11"/>
      <c r="C330" s="11"/>
      <c r="D330" s="11"/>
      <c r="E330" s="11"/>
      <c r="F330" s="11"/>
      <c r="G330" s="11"/>
      <c r="H330" s="11"/>
      <c r="I330" s="11"/>
      <c r="J330" s="11"/>
      <c r="K330" s="11"/>
      <c r="L330" s="11"/>
      <c r="M330" s="11"/>
      <c r="N330" s="11"/>
      <c r="O330" s="11"/>
      <c r="P330" s="11"/>
      <c r="Q330" s="11"/>
    </row>
    <row r="331" spans="1:17" x14ac:dyDescent="0.3">
      <c r="A331" s="11"/>
      <c r="B331" s="11"/>
      <c r="C331" s="11"/>
      <c r="D331" s="11"/>
      <c r="E331" s="11"/>
      <c r="F331" s="11"/>
      <c r="G331" s="11"/>
      <c r="H331" s="11"/>
      <c r="I331" s="11"/>
      <c r="J331" s="11"/>
      <c r="K331" s="11"/>
      <c r="L331" s="11"/>
      <c r="M331" s="11"/>
      <c r="N331" s="11"/>
      <c r="O331" s="11"/>
      <c r="P331" s="11"/>
      <c r="Q331" s="11"/>
    </row>
    <row r="332" spans="1:17" x14ac:dyDescent="0.3">
      <c r="A332" s="11"/>
      <c r="B332" s="11"/>
      <c r="C332" s="11"/>
      <c r="D332" s="11"/>
      <c r="E332" s="11"/>
      <c r="F332" s="11"/>
      <c r="G332" s="11"/>
      <c r="H332" s="11"/>
      <c r="I332" s="11"/>
      <c r="J332" s="11"/>
      <c r="K332" s="11"/>
      <c r="L332" s="11"/>
      <c r="M332" s="11"/>
      <c r="N332" s="11"/>
      <c r="O332" s="11"/>
      <c r="P332" s="11"/>
      <c r="Q332" s="11"/>
    </row>
    <row r="333" spans="1:17" x14ac:dyDescent="0.3">
      <c r="A333" s="11"/>
      <c r="B333" s="11"/>
      <c r="C333" s="11"/>
      <c r="D333" s="11"/>
      <c r="E333" s="11"/>
      <c r="F333" s="11"/>
      <c r="G333" s="11"/>
      <c r="H333" s="11"/>
      <c r="I333" s="11"/>
      <c r="J333" s="11"/>
      <c r="K333" s="11"/>
      <c r="L333" s="11"/>
      <c r="M333" s="11"/>
      <c r="N333" s="11"/>
      <c r="O333" s="11"/>
      <c r="P333" s="11"/>
      <c r="Q333" s="11"/>
    </row>
    <row r="334" spans="1:17" x14ac:dyDescent="0.3">
      <c r="A334" s="11"/>
      <c r="B334" s="11"/>
      <c r="C334" s="11"/>
      <c r="D334" s="11"/>
      <c r="E334" s="11"/>
      <c r="F334" s="11"/>
      <c r="G334" s="11"/>
      <c r="H334" s="11"/>
      <c r="I334" s="11"/>
      <c r="J334" s="11"/>
      <c r="K334" s="11"/>
      <c r="L334" s="11"/>
      <c r="M334" s="11"/>
      <c r="N334" s="11"/>
      <c r="O334" s="11"/>
      <c r="P334" s="11"/>
      <c r="Q334" s="11"/>
    </row>
    <row r="335" spans="1:17" x14ac:dyDescent="0.3">
      <c r="A335" s="11"/>
      <c r="B335" s="11"/>
      <c r="C335" s="11"/>
      <c r="D335" s="11"/>
      <c r="E335" s="11"/>
      <c r="F335" s="11"/>
      <c r="G335" s="11"/>
      <c r="H335" s="11"/>
      <c r="I335" s="11"/>
      <c r="J335" s="11"/>
      <c r="K335" s="11"/>
      <c r="L335" s="11"/>
      <c r="M335" s="11"/>
      <c r="N335" s="11"/>
      <c r="O335" s="11"/>
      <c r="P335" s="11"/>
      <c r="Q335" s="11"/>
    </row>
  </sheetData>
  <sheetProtection sheet="1" objects="1" scenarios="1" sort="0" autoFilter="0"/>
  <mergeCells count="2">
    <mergeCell ref="C25:K25"/>
    <mergeCell ref="L25:Q25"/>
  </mergeCells>
  <phoneticPr fontId="31" type="noConversion"/>
  <conditionalFormatting sqref="K21:K22">
    <cfRule type="containsText" dxfId="28" priority="3" operator="containsText" text="MISSED">
      <formula>NOT(ISERROR(SEARCH("MISSED",K21)))</formula>
    </cfRule>
  </conditionalFormatting>
  <conditionalFormatting sqref="B27:Q326">
    <cfRule type="expression" dxfId="26" priority="4">
      <formula>$Q27="Yes"</formula>
    </cfRule>
  </conditionalFormatting>
  <conditionalFormatting sqref="I17:I19">
    <cfRule type="containsText" dxfId="24" priority="5" operator="containsText" text="MISSED">
      <formula>NOT(ISERROR(SEARCH("MISSED",I17)))</formula>
    </cfRule>
  </conditionalFormatting>
  <conditionalFormatting sqref="I21:I23">
    <cfRule type="containsText" dxfId="23" priority="6" operator="containsText" text="MISSED">
      <formula>NOT(ISERROR(SEARCH("MISSED",I21)))</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03792-8FE8-4586-95F6-D9D5F6FE4ECE}">
  <sheetPr>
    <tabColor rgb="FF548235"/>
  </sheetPr>
  <dimension ref="A1:H50"/>
  <sheetViews>
    <sheetView showGridLines="0" workbookViewId="0">
      <pane ySplit="14" topLeftCell="A21" activePane="bottomLeft" state="frozen"/>
      <selection pane="bottomLeft"/>
    </sheetView>
  </sheetViews>
  <sheetFormatPr defaultRowHeight="14.4" x14ac:dyDescent="0.3"/>
  <cols>
    <col min="1" max="1" width="2.5546875" customWidth="1"/>
    <col min="2" max="2" width="24.109375" customWidth="1"/>
    <col min="3" max="4" width="25" customWidth="1"/>
    <col min="5" max="6" width="25.88671875" customWidth="1"/>
    <col min="7" max="7" width="26.88671875" customWidth="1"/>
    <col min="8" max="8" width="48.109375" customWidth="1"/>
  </cols>
  <sheetData>
    <row r="1" spans="1:8" ht="28.05" customHeight="1" x14ac:dyDescent="0.45">
      <c r="A1" s="11"/>
      <c r="B1" s="104" t="s">
        <v>0</v>
      </c>
      <c r="C1" s="104"/>
      <c r="D1" s="104"/>
      <c r="E1" s="104"/>
      <c r="F1" s="104"/>
      <c r="G1" s="104"/>
      <c r="H1" s="104"/>
    </row>
    <row r="2" spans="1:8" x14ac:dyDescent="0.3">
      <c r="A2" s="11"/>
      <c r="B2" s="105" t="s">
        <v>879</v>
      </c>
      <c r="C2" s="105"/>
      <c r="D2" s="105"/>
      <c r="E2" s="105"/>
      <c r="F2" s="105"/>
      <c r="G2" s="105"/>
      <c r="H2" s="105"/>
    </row>
    <row r="3" spans="1:8" x14ac:dyDescent="0.3">
      <c r="A3" s="11"/>
      <c r="B3" s="173" t="s">
        <v>880</v>
      </c>
      <c r="C3" s="173"/>
      <c r="D3" s="173"/>
      <c r="E3" s="173"/>
      <c r="F3" s="173"/>
      <c r="G3" s="173"/>
      <c r="H3" s="173"/>
    </row>
    <row r="4" spans="1:8" x14ac:dyDescent="0.3">
      <c r="A4" s="11"/>
      <c r="B4" s="11"/>
      <c r="C4" s="11"/>
      <c r="D4" s="11"/>
      <c r="E4" s="11"/>
      <c r="F4" s="11"/>
      <c r="G4" s="11"/>
      <c r="H4" s="11"/>
    </row>
    <row r="5" spans="1:8" ht="15.6" x14ac:dyDescent="0.3">
      <c r="A5" s="11"/>
      <c r="B5" s="107" t="s">
        <v>881</v>
      </c>
      <c r="C5" s="107"/>
      <c r="D5" s="107"/>
      <c r="E5" s="107"/>
      <c r="F5" s="107"/>
      <c r="G5" s="107"/>
      <c r="H5" s="107"/>
    </row>
    <row r="6" spans="1:8" x14ac:dyDescent="0.3">
      <c r="A6" s="11"/>
      <c r="B6" s="40" t="s">
        <v>882</v>
      </c>
      <c r="C6" s="40"/>
      <c r="D6" s="40"/>
      <c r="E6" s="40"/>
      <c r="F6" s="200">
        <v>0</v>
      </c>
      <c r="G6" s="168"/>
      <c r="H6" s="174" t="s">
        <v>883</v>
      </c>
    </row>
    <row r="7" spans="1:8" x14ac:dyDescent="0.3">
      <c r="A7" s="11"/>
      <c r="B7" s="40" t="s">
        <v>884</v>
      </c>
      <c r="C7" s="40"/>
      <c r="D7" s="40"/>
      <c r="E7" s="40"/>
      <c r="F7" s="167" t="s">
        <v>182</v>
      </c>
      <c r="G7" s="168"/>
      <c r="H7" s="11"/>
    </row>
    <row r="8" spans="1:8" x14ac:dyDescent="0.3">
      <c r="A8" s="11"/>
      <c r="B8" s="40" t="s">
        <v>885</v>
      </c>
      <c r="C8" s="40"/>
      <c r="D8" s="40"/>
      <c r="E8" s="40"/>
      <c r="F8" s="167" t="s">
        <v>201</v>
      </c>
      <c r="G8" s="168"/>
      <c r="H8" s="11"/>
    </row>
    <row r="9" spans="1:8" x14ac:dyDescent="0.3">
      <c r="A9" s="11"/>
      <c r="B9" s="40" t="s">
        <v>886</v>
      </c>
      <c r="C9" s="40"/>
      <c r="D9" s="40"/>
      <c r="E9" s="40"/>
      <c r="F9" s="167" t="s">
        <v>275</v>
      </c>
      <c r="G9" s="168"/>
      <c r="H9" s="11"/>
    </row>
    <row r="10" spans="1:8" x14ac:dyDescent="0.3">
      <c r="A10" s="11"/>
      <c r="B10" s="40" t="s">
        <v>908</v>
      </c>
      <c r="C10" s="40"/>
      <c r="D10" s="40"/>
      <c r="E10" s="40"/>
      <c r="F10" s="201" t="s">
        <v>909</v>
      </c>
      <c r="G10" s="201" t="s">
        <v>910</v>
      </c>
      <c r="H10" s="174" t="s">
        <v>911</v>
      </c>
    </row>
    <row r="11" spans="1:8" x14ac:dyDescent="0.3">
      <c r="A11" s="11"/>
      <c r="B11" s="11"/>
      <c r="C11" s="11"/>
      <c r="D11" s="11"/>
      <c r="E11" s="11"/>
      <c r="F11" s="11"/>
      <c r="G11" s="11"/>
      <c r="H11" s="11"/>
    </row>
    <row r="12" spans="1:8" ht="15.6" x14ac:dyDescent="0.3">
      <c r="A12" s="11"/>
      <c r="B12" s="107" t="s">
        <v>887</v>
      </c>
      <c r="C12" s="107"/>
      <c r="D12" s="107"/>
      <c r="E12" s="107"/>
      <c r="F12" s="107"/>
      <c r="G12" s="107"/>
      <c r="H12" s="107"/>
    </row>
    <row r="13" spans="1:8" x14ac:dyDescent="0.3">
      <c r="A13" s="11"/>
      <c r="B13" s="175" t="s">
        <v>806</v>
      </c>
      <c r="C13" s="176" t="s">
        <v>888</v>
      </c>
      <c r="D13" s="176" t="s">
        <v>889</v>
      </c>
      <c r="E13" s="176" t="s">
        <v>890</v>
      </c>
      <c r="F13" s="176" t="s">
        <v>891</v>
      </c>
      <c r="G13" s="176" t="s">
        <v>892</v>
      </c>
      <c r="H13" s="176" t="s">
        <v>814</v>
      </c>
    </row>
    <row r="14" spans="1:8" x14ac:dyDescent="0.3">
      <c r="A14" s="11"/>
      <c r="B14" s="177" t="s">
        <v>815</v>
      </c>
      <c r="C14" s="178" t="str">
        <f>Dir_In</f>
        <v>Inflow</v>
      </c>
      <c r="D14" s="178" t="str">
        <f>Dir_Out</f>
        <v>Outflow</v>
      </c>
      <c r="E14" s="179"/>
      <c r="F14" s="179"/>
      <c r="G14" s="179"/>
      <c r="H14" s="179"/>
    </row>
    <row r="15" spans="1:8" x14ac:dyDescent="0.3">
      <c r="A15" s="11"/>
      <c r="B15" s="180">
        <f>DATE(Ledger_Year,1,1)</f>
        <v>46023</v>
      </c>
      <c r="C15" s="181" cm="1">
        <f t="array" ref="C15">SUMPRODUCT((YEAR(tbl_Ledger[Date])=YEAR($B15))*(MONTH(tbl_Ledger[Date])=MONTH($B15))*(tbl_Ledger[Direction]=C$14)*tbl_Ledger[Amount])</f>
        <v>1301076</v>
      </c>
      <c r="D15" s="181" cm="1">
        <f t="array" ref="D15">SUMPRODUCT((YEAR(tbl_Ledger[Date])=YEAR($B15))*(MONTH(tbl_Ledger[Date])=MONTH($B15))*(tbl_Ledger[Direction]=D$14)*tbl_Ledger[Amount])</f>
        <v>690006</v>
      </c>
      <c r="E15" s="182">
        <f>C15-D15</f>
        <v>611070</v>
      </c>
      <c r="F15" s="183">
        <f>Opening_Cash</f>
        <v>0</v>
      </c>
      <c r="G15" s="182">
        <f>F15+E15</f>
        <v>611070</v>
      </c>
      <c r="H15" s="184" t="str">
        <f>IF(E15&lt;0,"Negative net cash flow — review","OK")</f>
        <v>OK</v>
      </c>
    </row>
    <row r="16" spans="1:8" x14ac:dyDescent="0.3">
      <c r="A16" s="11"/>
      <c r="B16" s="180">
        <f>EDATE(B15,1)</f>
        <v>46054</v>
      </c>
      <c r="C16" s="181" cm="1">
        <f t="array" ref="C16">SUMPRODUCT((YEAR(tbl_Ledger[Date])=YEAR($B16))*(MONTH(tbl_Ledger[Date])=MONTH($B16))*(tbl_Ledger[Direction]=C$14)*tbl_Ledger[Amount])</f>
        <v>899759</v>
      </c>
      <c r="D16" s="181" cm="1">
        <f t="array" ref="D16">SUMPRODUCT((YEAR(tbl_Ledger[Date])=YEAR($B16))*(MONTH(tbl_Ledger[Date])=MONTH($B16))*(tbl_Ledger[Direction]=D$14)*tbl_Ledger[Amount])</f>
        <v>639828</v>
      </c>
      <c r="E16" s="182">
        <f>C16-D16</f>
        <v>259931</v>
      </c>
      <c r="F16" s="181">
        <f>G15</f>
        <v>611070</v>
      </c>
      <c r="G16" s="182">
        <f>F16+E16</f>
        <v>871001</v>
      </c>
      <c r="H16" s="184" t="str">
        <f>IF(E16&lt;0,"Negative net cash flow — review","OK")</f>
        <v>OK</v>
      </c>
    </row>
    <row r="17" spans="1:8" x14ac:dyDescent="0.3">
      <c r="A17" s="11"/>
      <c r="B17" s="180">
        <f t="shared" ref="B17:B22" si="0">EDATE(B16,1)</f>
        <v>46082</v>
      </c>
      <c r="C17" s="181" cm="1">
        <f t="array" ref="C17">SUMPRODUCT((YEAR(tbl_Ledger[Date])=YEAR($B17))*(MONTH(tbl_Ledger[Date])=MONTH($B17))*(tbl_Ledger[Direction]=C$14)*tbl_Ledger[Amount])</f>
        <v>1060486</v>
      </c>
      <c r="D17" s="181" cm="1">
        <f t="array" ref="D17">SUMPRODUCT((YEAR(tbl_Ledger[Date])=YEAR($B17))*(MONTH(tbl_Ledger[Date])=MONTH($B17))*(tbl_Ledger[Direction]=D$14)*tbl_Ledger[Amount])</f>
        <v>629109</v>
      </c>
      <c r="E17" s="182">
        <f t="shared" ref="E17:E23" si="1">C17-D17</f>
        <v>431377</v>
      </c>
      <c r="F17" s="181">
        <f t="shared" ref="F17:F22" si="2">G16</f>
        <v>871001</v>
      </c>
      <c r="G17" s="182">
        <f t="shared" ref="G17:G23" si="3">F17+E17</f>
        <v>1302378</v>
      </c>
      <c r="H17" s="184" t="str">
        <f t="shared" ref="H17:H23" si="4">IF(E17&lt;0,"Negative net cash flow — review","OK")</f>
        <v>OK</v>
      </c>
    </row>
    <row r="18" spans="1:8" x14ac:dyDescent="0.3">
      <c r="A18" s="11"/>
      <c r="B18" s="180">
        <f t="shared" si="0"/>
        <v>46113</v>
      </c>
      <c r="C18" s="181" cm="1">
        <f t="array" ref="C18">SUMPRODUCT((YEAR(tbl_Ledger[Date])=YEAR($B18))*(MONTH(tbl_Ledger[Date])=MONTH($B18))*(tbl_Ledger[Direction]=C$14)*tbl_Ledger[Amount])</f>
        <v>751592</v>
      </c>
      <c r="D18" s="181" cm="1">
        <f t="array" ref="D18">SUMPRODUCT((YEAR(tbl_Ledger[Date])=YEAR($B18))*(MONTH(tbl_Ledger[Date])=MONTH($B18))*(tbl_Ledger[Direction]=D$14)*tbl_Ledger[Amount])</f>
        <v>503061</v>
      </c>
      <c r="E18" s="182">
        <f t="shared" si="1"/>
        <v>248531</v>
      </c>
      <c r="F18" s="181">
        <f t="shared" si="2"/>
        <v>1302378</v>
      </c>
      <c r="G18" s="182">
        <f t="shared" si="3"/>
        <v>1550909</v>
      </c>
      <c r="H18" s="184" t="str">
        <f t="shared" si="4"/>
        <v>OK</v>
      </c>
    </row>
    <row r="19" spans="1:8" x14ac:dyDescent="0.3">
      <c r="A19" s="11"/>
      <c r="B19" s="180">
        <f t="shared" si="0"/>
        <v>46143</v>
      </c>
      <c r="C19" s="181" cm="1">
        <f t="array" ref="C19">SUMPRODUCT((YEAR(tbl_Ledger[Date])=YEAR($B19))*(MONTH(tbl_Ledger[Date])=MONTH($B19))*(tbl_Ledger[Direction]=C$14)*tbl_Ledger[Amount])</f>
        <v>745602</v>
      </c>
      <c r="D19" s="181" cm="1">
        <f t="array" ref="D19">SUMPRODUCT((YEAR(tbl_Ledger[Date])=YEAR($B19))*(MONTH(tbl_Ledger[Date])=MONTH($B19))*(tbl_Ledger[Direction]=D$14)*tbl_Ledger[Amount])</f>
        <v>689270</v>
      </c>
      <c r="E19" s="182">
        <f t="shared" si="1"/>
        <v>56332</v>
      </c>
      <c r="F19" s="181">
        <f t="shared" si="2"/>
        <v>1550909</v>
      </c>
      <c r="G19" s="182">
        <f t="shared" si="3"/>
        <v>1607241</v>
      </c>
      <c r="H19" s="184" t="str">
        <f t="shared" si="4"/>
        <v>OK</v>
      </c>
    </row>
    <row r="20" spans="1:8" x14ac:dyDescent="0.3">
      <c r="A20" s="11"/>
      <c r="B20" s="180">
        <f t="shared" si="0"/>
        <v>46174</v>
      </c>
      <c r="C20" s="181" cm="1">
        <f t="array" ref="C20">SUMPRODUCT((YEAR(tbl_Ledger[Date])=YEAR($B20))*(MONTH(tbl_Ledger[Date])=MONTH($B20))*(tbl_Ledger[Direction]=C$14)*tbl_Ledger[Amount])</f>
        <v>736397</v>
      </c>
      <c r="D20" s="181" cm="1">
        <f t="array" ref="D20">SUMPRODUCT((YEAR(tbl_Ledger[Date])=YEAR($B20))*(MONTH(tbl_Ledger[Date])=MONTH($B20))*(tbl_Ledger[Direction]=D$14)*tbl_Ledger[Amount])</f>
        <v>1095566</v>
      </c>
      <c r="E20" s="182">
        <f t="shared" si="1"/>
        <v>-359169</v>
      </c>
      <c r="F20" s="181">
        <f t="shared" si="2"/>
        <v>1607241</v>
      </c>
      <c r="G20" s="182">
        <f t="shared" si="3"/>
        <v>1248072</v>
      </c>
      <c r="H20" s="184" t="str">
        <f t="shared" si="4"/>
        <v>Negative net cash flow — review</v>
      </c>
    </row>
    <row r="21" spans="1:8" x14ac:dyDescent="0.3">
      <c r="A21" s="11"/>
      <c r="B21" s="180">
        <f t="shared" si="0"/>
        <v>46204</v>
      </c>
      <c r="C21" s="181" cm="1">
        <f t="array" ref="C21">SUMPRODUCT((YEAR(tbl_Ledger[Date])=YEAR($B21))*(MONTH(tbl_Ledger[Date])=MONTH($B21))*(tbl_Ledger[Direction]=C$14)*tbl_Ledger[Amount])</f>
        <v>853161</v>
      </c>
      <c r="D21" s="181" cm="1">
        <f t="array" ref="D21">SUMPRODUCT((YEAR(tbl_Ledger[Date])=YEAR($B21))*(MONTH(tbl_Ledger[Date])=MONTH($B21))*(tbl_Ledger[Direction]=D$14)*tbl_Ledger[Amount])</f>
        <v>581821</v>
      </c>
      <c r="E21" s="182">
        <f t="shared" si="1"/>
        <v>271340</v>
      </c>
      <c r="F21" s="181">
        <f t="shared" si="2"/>
        <v>1248072</v>
      </c>
      <c r="G21" s="182">
        <f t="shared" si="3"/>
        <v>1519412</v>
      </c>
      <c r="H21" s="184" t="str">
        <f t="shared" si="4"/>
        <v>OK</v>
      </c>
    </row>
    <row r="22" spans="1:8" x14ac:dyDescent="0.3">
      <c r="A22" s="11"/>
      <c r="B22" s="180">
        <f t="shared" si="0"/>
        <v>46235</v>
      </c>
      <c r="C22" s="181" cm="1">
        <f t="array" ref="C22">SUMPRODUCT((YEAR(tbl_Ledger[Date])=YEAR($B22))*(MONTH(tbl_Ledger[Date])=MONTH($B22))*(tbl_Ledger[Direction]=C$14)*tbl_Ledger[Amount])</f>
        <v>1094702</v>
      </c>
      <c r="D22" s="181" cm="1">
        <f t="array" ref="D22">SUMPRODUCT((YEAR(tbl_Ledger[Date])=YEAR($B22))*(MONTH(tbl_Ledger[Date])=MONTH($B22))*(tbl_Ledger[Direction]=D$14)*tbl_Ledger[Amount])</f>
        <v>633839</v>
      </c>
      <c r="E22" s="182">
        <f t="shared" si="1"/>
        <v>460863</v>
      </c>
      <c r="F22" s="181">
        <f t="shared" si="2"/>
        <v>1519412</v>
      </c>
      <c r="G22" s="182">
        <f t="shared" si="3"/>
        <v>1980275</v>
      </c>
      <c r="H22" s="184" t="str">
        <f t="shared" si="4"/>
        <v>OK</v>
      </c>
    </row>
    <row r="23" spans="1:8" x14ac:dyDescent="0.3">
      <c r="A23" s="11"/>
      <c r="B23" s="185" t="s">
        <v>816</v>
      </c>
      <c r="C23" s="186">
        <f>SUM(C15:C22)</f>
        <v>7442775</v>
      </c>
      <c r="D23" s="186">
        <f>SUM(D15:D22)</f>
        <v>5462500</v>
      </c>
      <c r="E23" s="186">
        <f>SUM(E15:E22)</f>
        <v>1980275</v>
      </c>
      <c r="F23" s="186">
        <f>F15</f>
        <v>0</v>
      </c>
      <c r="G23" s="186" cm="1">
        <f t="array" ref="G23">INDEX(G15:G22,COUNT(B15:B22))</f>
        <v>1980275</v>
      </c>
      <c r="H23" s="187" t="str">
        <f>IF(ROUND(F23+E23-G23,2)=0,"OK — opening plus net movement equals closing","REVIEW — roll-forward does not tie")</f>
        <v>OK — opening plus net movement equals closing</v>
      </c>
    </row>
    <row r="24" spans="1:8" x14ac:dyDescent="0.3">
      <c r="A24" s="11"/>
      <c r="B24" s="11"/>
      <c r="C24" s="11"/>
      <c r="D24" s="11"/>
      <c r="E24" s="11"/>
      <c r="F24" s="11"/>
      <c r="G24" s="11"/>
      <c r="H24" s="11"/>
    </row>
    <row r="25" spans="1:8" ht="15.6" x14ac:dyDescent="0.3">
      <c r="A25" s="11"/>
      <c r="B25" s="107" t="s">
        <v>893</v>
      </c>
      <c r="C25" s="107"/>
      <c r="D25" s="107"/>
      <c r="E25" s="107"/>
      <c r="F25" s="107"/>
      <c r="G25" s="107"/>
      <c r="H25" s="107"/>
    </row>
    <row r="26" spans="1:8" x14ac:dyDescent="0.3">
      <c r="A26" s="11"/>
      <c r="B26" s="188" t="s">
        <v>823</v>
      </c>
      <c r="C26" s="188"/>
      <c r="D26" s="188"/>
      <c r="E26" s="188"/>
      <c r="F26" s="188"/>
      <c r="G26" s="147" t="s">
        <v>824</v>
      </c>
      <c r="H26" s="11"/>
    </row>
    <row r="27" spans="1:8" x14ac:dyDescent="0.3">
      <c r="A27" s="11"/>
      <c r="B27" s="42" t="s">
        <v>894</v>
      </c>
      <c r="C27" s="42"/>
      <c r="D27" s="42"/>
      <c r="E27" s="42"/>
      <c r="F27" s="42"/>
      <c r="G27" s="189" cm="1">
        <f t="array" ref="G27">VR_Output_Tax_Total</f>
        <v>1488555</v>
      </c>
      <c r="H27" s="11"/>
    </row>
    <row r="28" spans="1:8" x14ac:dyDescent="0.3">
      <c r="A28" s="11"/>
      <c r="B28" s="42" t="s">
        <v>912</v>
      </c>
      <c r="C28" s="42"/>
      <c r="D28" s="42"/>
      <c r="E28" s="42"/>
      <c r="F28" s="42"/>
      <c r="G28" s="189" cm="1">
        <f t="array" ref="G28">SUMPRODUCT((tbl_Ledger[Counterparty]=Tax_Authority)*(tbl_Ledger[Direction]=Dir_Out)*SIGN(--ISNUMBER(SEARCH(Remit_Kw1,tbl_Ledger[Description]))+--ISNUMBER(SEARCH(Remit_Kw2,tbl_Ledger[Description])))*tbl_Ledger[Amount])</f>
        <v>682003</v>
      </c>
      <c r="H28" s="11"/>
    </row>
    <row r="29" spans="1:8" x14ac:dyDescent="0.3">
      <c r="A29" s="11"/>
      <c r="B29" s="42" t="s">
        <v>895</v>
      </c>
      <c r="C29" s="42"/>
      <c r="D29" s="42"/>
      <c r="E29" s="42"/>
      <c r="F29" s="42"/>
      <c r="G29" s="189">
        <f>VR_Withheld_At_Source</f>
        <v>63364.630000000012</v>
      </c>
      <c r="H29" s="11"/>
    </row>
    <row r="30" spans="1:8" x14ac:dyDescent="0.3">
      <c r="A30" s="11"/>
      <c r="B30" s="40" t="s">
        <v>896</v>
      </c>
      <c r="C30" s="40"/>
      <c r="D30" s="40"/>
      <c r="E30" s="40"/>
      <c r="F30" s="40"/>
      <c r="G30" s="190">
        <f>G27-G28-G29</f>
        <v>743187.37</v>
      </c>
      <c r="H30" s="11"/>
    </row>
    <row r="31" spans="1:8" x14ac:dyDescent="0.3">
      <c r="A31" s="11"/>
      <c r="B31" s="11"/>
      <c r="C31" s="11"/>
      <c r="D31" s="11"/>
      <c r="E31" s="11"/>
      <c r="F31" s="11"/>
      <c r="G31" s="11"/>
      <c r="H31" s="11"/>
    </row>
    <row r="32" spans="1:8" x14ac:dyDescent="0.3">
      <c r="A32" s="11"/>
      <c r="B32" s="11"/>
      <c r="C32" s="11"/>
      <c r="D32" s="11"/>
      <c r="E32" s="11"/>
      <c r="F32" s="11"/>
      <c r="G32" s="11"/>
      <c r="H32" s="11"/>
    </row>
    <row r="33" spans="1:8" ht="15.6" x14ac:dyDescent="0.3">
      <c r="A33" s="11"/>
      <c r="B33" s="107" t="s">
        <v>897</v>
      </c>
      <c r="C33" s="107"/>
      <c r="D33" s="107"/>
      <c r="E33" s="107"/>
      <c r="F33" s="107"/>
      <c r="G33" s="107"/>
      <c r="H33" s="107"/>
    </row>
    <row r="34" spans="1:8" x14ac:dyDescent="0.3">
      <c r="A34" s="11"/>
      <c r="B34" s="175" t="s">
        <v>103</v>
      </c>
      <c r="C34" s="191"/>
      <c r="D34" s="191"/>
      <c r="E34" s="176" t="s">
        <v>104</v>
      </c>
      <c r="F34" s="176" t="s">
        <v>105</v>
      </c>
      <c r="G34" s="176" t="s">
        <v>106</v>
      </c>
      <c r="H34" s="11"/>
    </row>
    <row r="35" spans="1:8" x14ac:dyDescent="0.3">
      <c r="A35" s="11"/>
      <c r="B35" s="192" t="s">
        <v>898</v>
      </c>
      <c r="C35" s="192"/>
      <c r="D35" s="192"/>
      <c r="E35" s="193">
        <f>SUM(tbl_Ledger[Amount])</f>
        <v>12905275</v>
      </c>
      <c r="F35" s="193">
        <f>C23+D23</f>
        <v>12905275</v>
      </c>
      <c r="G35" s="194" t="str">
        <f>IF(ROUND(E35-F35,2)=0,"OK","REVIEW")</f>
        <v>OK</v>
      </c>
      <c r="H35" s="11"/>
    </row>
    <row r="36" spans="1:8" x14ac:dyDescent="0.3">
      <c r="A36" s="11"/>
      <c r="B36" s="192" t="s">
        <v>899</v>
      </c>
      <c r="C36" s="192"/>
      <c r="D36" s="192"/>
      <c r="E36" s="195">
        <f>ROWS(tbl_Ledger[Row ID])</f>
        <v>300</v>
      </c>
      <c r="F36" s="195" cm="1">
        <f t="array" ref="F36">SUMPRODUCT((tbl_Ledger[Date]&gt;=$B$15)*(tbl_Ledger[Date]&lt;=EOMONTH(INDEX($B$15:$B$22,COUNT($B$15:$B$22)),0))*1)</f>
        <v>300</v>
      </c>
      <c r="G36" s="194" t="str">
        <f>IF(E36=F36,"OK","REVIEW")</f>
        <v>OK</v>
      </c>
      <c r="H36" s="11"/>
    </row>
    <row r="37" spans="1:8" x14ac:dyDescent="0.3">
      <c r="A37" s="11"/>
      <c r="B37" s="192" t="s">
        <v>900</v>
      </c>
      <c r="C37" s="192"/>
      <c r="D37" s="192"/>
      <c r="E37" s="195">
        <f>ROWS(tbl_Ledger[Row ID])</f>
        <v>300</v>
      </c>
      <c r="F37" s="195" cm="1">
        <f t="array" ref="F37">SUMPRODUCT(((tbl_Ledger[Direction]=Dir_In)+(tbl_Ledger[Direction]=Dir_Out))*1)</f>
        <v>300</v>
      </c>
      <c r="G37" s="194" t="str">
        <f>IF(E37=F37,"OK","REVIEW")</f>
        <v>OK</v>
      </c>
      <c r="H37" s="11"/>
    </row>
    <row r="38" spans="1:8" x14ac:dyDescent="0.3">
      <c r="A38" s="11"/>
      <c r="B38" s="192" t="s">
        <v>901</v>
      </c>
      <c r="C38" s="192"/>
      <c r="D38" s="192"/>
      <c r="E38" s="193">
        <f>Opening_Cash+E23</f>
        <v>1980275</v>
      </c>
      <c r="F38" s="193">
        <f>G23</f>
        <v>1980275</v>
      </c>
      <c r="G38" s="194" t="str">
        <f>IF(ROUND(E38-F38,2)=0,"OK","REVIEW")</f>
        <v>OK</v>
      </c>
      <c r="H38" s="11"/>
    </row>
    <row r="39" spans="1:8" x14ac:dyDescent="0.3">
      <c r="A39" s="11"/>
      <c r="B39" s="196" t="s">
        <v>902</v>
      </c>
      <c r="C39" s="196"/>
      <c r="D39" s="196"/>
      <c r="E39" s="197">
        <v>8</v>
      </c>
      <c r="F39" s="197">
        <f>COUNT($B$15:$B$22)</f>
        <v>8</v>
      </c>
      <c r="G39" s="198" t="str">
        <f>IF(E39=F39,"OK","REVIEW")</f>
        <v>OK</v>
      </c>
      <c r="H39" s="11"/>
    </row>
    <row r="40" spans="1:8" x14ac:dyDescent="0.3">
      <c r="A40" s="11"/>
      <c r="B40" s="11"/>
      <c r="C40" s="11"/>
      <c r="D40" s="11"/>
      <c r="E40" s="11"/>
      <c r="F40" s="11"/>
      <c r="G40" s="11"/>
      <c r="H40" s="11"/>
    </row>
    <row r="41" spans="1:8" ht="15.6" x14ac:dyDescent="0.3">
      <c r="A41" s="11"/>
      <c r="B41" s="107" t="s">
        <v>903</v>
      </c>
      <c r="C41" s="107"/>
      <c r="D41" s="107"/>
      <c r="E41" s="107"/>
      <c r="F41" s="107"/>
      <c r="G41" s="107"/>
      <c r="H41" s="107"/>
    </row>
    <row r="42" spans="1:8" x14ac:dyDescent="0.3">
      <c r="A42" s="11"/>
      <c r="B42" s="199" t="s">
        <v>904</v>
      </c>
      <c r="C42" s="199"/>
      <c r="D42" s="199"/>
      <c r="E42" s="199"/>
      <c r="F42" s="199"/>
      <c r="G42" s="199"/>
      <c r="H42" s="199"/>
    </row>
    <row r="43" spans="1:8" x14ac:dyDescent="0.3">
      <c r="A43" s="11"/>
      <c r="B43" s="199" t="s">
        <v>905</v>
      </c>
      <c r="C43" s="199"/>
      <c r="D43" s="199"/>
      <c r="E43" s="199"/>
      <c r="F43" s="199"/>
      <c r="G43" s="199"/>
      <c r="H43" s="199"/>
    </row>
    <row r="44" spans="1:8" x14ac:dyDescent="0.3">
      <c r="A44" s="11"/>
      <c r="B44" s="199" t="s">
        <v>906</v>
      </c>
      <c r="C44" s="199"/>
      <c r="D44" s="199"/>
      <c r="E44" s="199"/>
      <c r="F44" s="199"/>
      <c r="G44" s="199"/>
      <c r="H44" s="199"/>
    </row>
    <row r="45" spans="1:8" x14ac:dyDescent="0.3">
      <c r="A45" s="11"/>
      <c r="B45" s="202" t="s">
        <v>913</v>
      </c>
      <c r="C45" s="199"/>
      <c r="D45" s="199"/>
      <c r="E45" s="199"/>
      <c r="F45" s="199"/>
      <c r="G45" s="199"/>
      <c r="H45" s="199"/>
    </row>
    <row r="46" spans="1:8" x14ac:dyDescent="0.3">
      <c r="A46" s="11"/>
      <c r="B46" s="199" t="s">
        <v>907</v>
      </c>
      <c r="C46" s="199"/>
      <c r="D46" s="199"/>
      <c r="E46" s="199"/>
      <c r="F46" s="199"/>
      <c r="G46" s="199"/>
      <c r="H46" s="199"/>
    </row>
    <row r="47" spans="1:8" x14ac:dyDescent="0.3">
      <c r="A47" s="11"/>
      <c r="B47" s="11"/>
      <c r="C47" s="11"/>
      <c r="D47" s="11"/>
      <c r="E47" s="11"/>
      <c r="F47" s="11"/>
      <c r="G47" s="11"/>
      <c r="H47" s="11"/>
    </row>
    <row r="48" spans="1:8" x14ac:dyDescent="0.3">
      <c r="A48" s="11"/>
      <c r="B48" s="11"/>
      <c r="C48" s="11"/>
      <c r="D48" s="11"/>
      <c r="E48" s="11"/>
      <c r="F48" s="11"/>
      <c r="G48" s="11"/>
      <c r="H48" s="11"/>
    </row>
    <row r="49" spans="1:8" x14ac:dyDescent="0.3">
      <c r="A49" s="11"/>
      <c r="B49" s="11"/>
      <c r="C49" s="11"/>
      <c r="D49" s="11"/>
      <c r="E49" s="11"/>
      <c r="F49" s="11"/>
      <c r="G49" s="11"/>
      <c r="H49" s="11"/>
    </row>
    <row r="50" spans="1:8" x14ac:dyDescent="0.3">
      <c r="A50" s="11"/>
      <c r="B50" s="11"/>
      <c r="C50" s="11"/>
      <c r="D50" s="11"/>
      <c r="E50" s="11"/>
      <c r="F50" s="11"/>
      <c r="G50" s="11"/>
      <c r="H50" s="11"/>
    </row>
  </sheetData>
  <sheetProtection sheet="1" objects="1" scenarios="1" sort="0" autoFilter="0"/>
  <mergeCells count="28">
    <mergeCell ref="B46:H46"/>
    <mergeCell ref="B6:E6"/>
    <mergeCell ref="B7:E7"/>
    <mergeCell ref="B8:E8"/>
    <mergeCell ref="B9:E9"/>
    <mergeCell ref="B10:E10"/>
    <mergeCell ref="B26:F26"/>
    <mergeCell ref="B38:D38"/>
    <mergeCell ref="B39:D39"/>
    <mergeCell ref="B42:H42"/>
    <mergeCell ref="B43:H43"/>
    <mergeCell ref="B44:H44"/>
    <mergeCell ref="B45:H45"/>
    <mergeCell ref="B33:H33"/>
    <mergeCell ref="B41:H41"/>
    <mergeCell ref="B27:F27"/>
    <mergeCell ref="B28:F28"/>
    <mergeCell ref="B29:F29"/>
    <mergeCell ref="B30:F30"/>
    <mergeCell ref="B35:D35"/>
    <mergeCell ref="B36:D36"/>
    <mergeCell ref="B37:D37"/>
    <mergeCell ref="B1:H1"/>
    <mergeCell ref="B2:H2"/>
    <mergeCell ref="B3:H3"/>
    <mergeCell ref="B5:H5"/>
    <mergeCell ref="B12:H12"/>
    <mergeCell ref="B25:H25"/>
  </mergeCells>
  <conditionalFormatting sqref="E15:E22">
    <cfRule type="expression" dxfId="4" priority="1">
      <formula>$E15&lt;0</formula>
    </cfRule>
  </conditionalFormatting>
  <conditionalFormatting sqref="H15:H22">
    <cfRule type="expression" dxfId="3" priority="2">
      <formula>$E15&lt;0</formula>
    </cfRule>
  </conditionalFormatting>
  <conditionalFormatting sqref="G15:G22">
    <cfRule type="expression" dxfId="2" priority="3">
      <formula>$G15&lt;0</formula>
    </cfRule>
  </conditionalFormatting>
  <conditionalFormatting sqref="G35:G39">
    <cfRule type="expression" dxfId="1" priority="4">
      <formula>$G35="REVIEW"</formula>
    </cfRule>
  </conditionalFormatting>
  <conditionalFormatting sqref="G35:G39">
    <cfRule type="expression" dxfId="0" priority="5">
      <formula>$G35="OK"</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E9C71-7E6E-4F70-B208-5C489F9885B2}">
  <sheetPr>
    <tabColor rgb="FFC00000"/>
  </sheetPr>
  <dimension ref="B1:J17"/>
  <sheetViews>
    <sheetView showGridLines="0" tabSelected="1" workbookViewId="0">
      <pane ySplit="5" topLeftCell="A6" activePane="bottomLeft" state="frozen"/>
      <selection pane="bottomLeft" activeCell="G6" sqref="G6"/>
    </sheetView>
  </sheetViews>
  <sheetFormatPr defaultRowHeight="14.4" x14ac:dyDescent="0.3"/>
  <cols>
    <col min="1" max="1" width="2.5546875" customWidth="1"/>
    <col min="2" max="2" width="13" customWidth="1"/>
    <col min="3" max="3" width="31.44140625" customWidth="1"/>
    <col min="4" max="4" width="27.77734375" customWidth="1"/>
    <col min="5" max="5" width="20.33203125" customWidth="1"/>
    <col min="6" max="6" width="18.5546875" customWidth="1"/>
    <col min="7" max="7" width="61.109375" customWidth="1"/>
    <col min="8" max="8" width="24.109375" customWidth="1"/>
    <col min="9" max="9" width="61.109375" customWidth="1"/>
    <col min="10" max="10" width="26.88671875" customWidth="1"/>
  </cols>
  <sheetData>
    <row r="1" spans="2:10" ht="30" customHeight="1" x14ac:dyDescent="0.3">
      <c r="B1" s="81" t="s">
        <v>0</v>
      </c>
      <c r="C1" s="2"/>
      <c r="D1" s="2"/>
      <c r="E1" s="2"/>
      <c r="F1" s="2"/>
      <c r="G1" s="2"/>
      <c r="H1" s="2"/>
      <c r="I1" s="2"/>
      <c r="J1" s="2"/>
    </row>
    <row r="2" spans="2:10" x14ac:dyDescent="0.3">
      <c r="B2" s="84" t="s">
        <v>753</v>
      </c>
      <c r="C2" s="2"/>
      <c r="D2" s="2"/>
      <c r="E2" s="2"/>
      <c r="F2" s="2"/>
      <c r="G2" s="2"/>
      <c r="H2" s="2"/>
      <c r="I2" s="2"/>
      <c r="J2" s="2"/>
    </row>
    <row r="3" spans="2:10" x14ac:dyDescent="0.3">
      <c r="B3" s="82" t="s">
        <v>754</v>
      </c>
      <c r="C3" s="2"/>
      <c r="D3" s="2"/>
      <c r="E3" s="2"/>
      <c r="F3" s="2"/>
      <c r="G3" s="2"/>
      <c r="H3" s="2"/>
      <c r="I3" s="2"/>
      <c r="J3" s="2"/>
    </row>
    <row r="5" spans="2:10" x14ac:dyDescent="0.3">
      <c r="B5" s="1" t="s">
        <v>236</v>
      </c>
      <c r="C5" s="1" t="s">
        <v>755</v>
      </c>
      <c r="D5" s="1" t="s">
        <v>756</v>
      </c>
      <c r="E5" s="1" t="s">
        <v>757</v>
      </c>
      <c r="F5" s="1" t="s">
        <v>237</v>
      </c>
      <c r="G5" s="1" t="s">
        <v>241</v>
      </c>
      <c r="H5" s="1" t="s">
        <v>238</v>
      </c>
      <c r="I5" s="1" t="s">
        <v>758</v>
      </c>
      <c r="J5" s="1" t="s">
        <v>759</v>
      </c>
    </row>
    <row r="6" spans="2:10" ht="28.8" x14ac:dyDescent="0.3">
      <c r="B6" s="4">
        <v>65</v>
      </c>
      <c r="C6" t="s">
        <v>760</v>
      </c>
      <c r="D6" t="s">
        <v>205</v>
      </c>
      <c r="E6" s="4" t="s">
        <v>199</v>
      </c>
      <c r="F6" s="5">
        <v>46075</v>
      </c>
      <c r="G6" s="83">
        <v>52400</v>
      </c>
      <c r="H6" s="3" t="s">
        <v>391</v>
      </c>
      <c r="I6" s="6" t="s">
        <v>392</v>
      </c>
      <c r="J6" s="3" t="s">
        <v>761</v>
      </c>
    </row>
    <row r="7" spans="2:10" ht="28.8" x14ac:dyDescent="0.3">
      <c r="B7" s="4">
        <v>70</v>
      </c>
      <c r="C7" t="s">
        <v>762</v>
      </c>
      <c r="D7" t="s">
        <v>763</v>
      </c>
      <c r="E7" s="4" t="s">
        <v>179</v>
      </c>
      <c r="F7" s="5">
        <v>46080</v>
      </c>
      <c r="G7" s="83">
        <v>60662</v>
      </c>
      <c r="H7" s="3" t="s">
        <v>400</v>
      </c>
      <c r="I7" s="6" t="s">
        <v>401</v>
      </c>
      <c r="J7" s="3" t="s">
        <v>764</v>
      </c>
    </row>
    <row r="8" spans="2:10" ht="28.8" x14ac:dyDescent="0.3">
      <c r="B8" s="4">
        <v>93</v>
      </c>
      <c r="C8" t="s">
        <v>765</v>
      </c>
      <c r="D8" t="s">
        <v>766</v>
      </c>
      <c r="E8" s="4" t="s">
        <v>179</v>
      </c>
      <c r="F8" s="5">
        <v>46095</v>
      </c>
      <c r="G8" s="83">
        <v>92487</v>
      </c>
      <c r="H8" s="3" t="s">
        <v>439</v>
      </c>
      <c r="I8" s="6" t="s">
        <v>767</v>
      </c>
      <c r="J8" s="3" t="s">
        <v>768</v>
      </c>
    </row>
    <row r="9" spans="2:10" ht="28.8" x14ac:dyDescent="0.3">
      <c r="B9" s="4">
        <v>99</v>
      </c>
      <c r="C9" t="s">
        <v>762</v>
      </c>
      <c r="D9" t="s">
        <v>769</v>
      </c>
      <c r="E9" s="4" t="s">
        <v>199</v>
      </c>
      <c r="F9" s="5">
        <v>46098</v>
      </c>
      <c r="G9" s="83">
        <v>4906</v>
      </c>
      <c r="H9" s="3" t="s">
        <v>309</v>
      </c>
      <c r="I9" s="6" t="s">
        <v>448</v>
      </c>
      <c r="J9" s="3" t="s">
        <v>770</v>
      </c>
    </row>
    <row r="10" spans="2:10" ht="28.8" x14ac:dyDescent="0.3">
      <c r="B10" s="4">
        <v>101</v>
      </c>
      <c r="C10" t="s">
        <v>771</v>
      </c>
      <c r="D10">
        <v>0</v>
      </c>
      <c r="E10" s="4" t="s">
        <v>205</v>
      </c>
      <c r="F10" s="5">
        <v>46100</v>
      </c>
      <c r="G10" s="83">
        <v>521</v>
      </c>
      <c r="H10" s="3" t="s">
        <v>317</v>
      </c>
      <c r="I10" s="6" t="s">
        <v>451</v>
      </c>
      <c r="J10" s="3" t="s">
        <v>772</v>
      </c>
    </row>
    <row r="11" spans="2:10" ht="28.8" x14ac:dyDescent="0.3">
      <c r="B11" s="4">
        <v>103</v>
      </c>
      <c r="C11" t="s">
        <v>760</v>
      </c>
      <c r="D11" t="s">
        <v>205</v>
      </c>
      <c r="E11" s="4" t="s">
        <v>199</v>
      </c>
      <c r="F11" s="5">
        <v>46101</v>
      </c>
      <c r="G11" s="83">
        <v>21750</v>
      </c>
      <c r="H11" s="3" t="s">
        <v>329</v>
      </c>
      <c r="I11" s="6" t="s">
        <v>454</v>
      </c>
      <c r="J11" s="3" t="s">
        <v>761</v>
      </c>
    </row>
    <row r="12" spans="2:10" ht="28.8" x14ac:dyDescent="0.3">
      <c r="B12" s="4">
        <v>114</v>
      </c>
      <c r="C12" t="s">
        <v>765</v>
      </c>
      <c r="D12" t="s">
        <v>773</v>
      </c>
      <c r="E12" s="4" t="s">
        <v>199</v>
      </c>
      <c r="F12" s="5">
        <v>46110</v>
      </c>
      <c r="G12" s="83">
        <v>8752</v>
      </c>
      <c r="H12" s="3" t="s">
        <v>290</v>
      </c>
      <c r="I12" s="6" t="s">
        <v>767</v>
      </c>
      <c r="J12" s="3" t="s">
        <v>768</v>
      </c>
    </row>
    <row r="13" spans="2:10" ht="43.2" x14ac:dyDescent="0.3">
      <c r="B13" s="4">
        <v>142</v>
      </c>
      <c r="C13" t="s">
        <v>771</v>
      </c>
      <c r="D13">
        <v>485.6</v>
      </c>
      <c r="E13" s="4" t="s">
        <v>199</v>
      </c>
      <c r="F13" s="5">
        <v>46135</v>
      </c>
      <c r="G13" s="83">
        <v>2428</v>
      </c>
      <c r="H13" s="3" t="s">
        <v>255</v>
      </c>
      <c r="I13" s="6" t="s">
        <v>513</v>
      </c>
      <c r="J13" s="3" t="s">
        <v>774</v>
      </c>
    </row>
    <row r="14" spans="2:10" ht="43.2" x14ac:dyDescent="0.3">
      <c r="B14" s="4">
        <v>216</v>
      </c>
      <c r="C14" t="s">
        <v>762</v>
      </c>
      <c r="D14" t="s">
        <v>775</v>
      </c>
      <c r="E14" s="4" t="s">
        <v>187</v>
      </c>
      <c r="F14" s="5">
        <v>46194</v>
      </c>
      <c r="G14" s="83">
        <v>101340</v>
      </c>
      <c r="H14" s="3" t="s">
        <v>776</v>
      </c>
      <c r="I14" s="6" t="s">
        <v>569</v>
      </c>
      <c r="J14" s="3" t="s">
        <v>777</v>
      </c>
    </row>
    <row r="15" spans="2:10" ht="28.8" x14ac:dyDescent="0.3">
      <c r="B15" s="4">
        <v>225</v>
      </c>
      <c r="C15" t="s">
        <v>760</v>
      </c>
      <c r="D15" t="s">
        <v>212</v>
      </c>
      <c r="E15" s="4" t="s">
        <v>199</v>
      </c>
      <c r="F15" s="5">
        <v>46202</v>
      </c>
      <c r="G15" s="83">
        <v>68300</v>
      </c>
      <c r="H15" s="3" t="s">
        <v>636</v>
      </c>
      <c r="I15" s="6" t="s">
        <v>637</v>
      </c>
      <c r="J15" s="3" t="s">
        <v>778</v>
      </c>
    </row>
    <row r="16" spans="2:10" ht="43.2" x14ac:dyDescent="0.3">
      <c r="B16" s="4">
        <v>240</v>
      </c>
      <c r="C16" t="s">
        <v>771</v>
      </c>
      <c r="D16">
        <v>14390.4</v>
      </c>
      <c r="E16" s="4" t="s">
        <v>179</v>
      </c>
      <c r="F16" s="5">
        <v>46213</v>
      </c>
      <c r="G16" s="83">
        <v>71952</v>
      </c>
      <c r="H16" s="3" t="s">
        <v>509</v>
      </c>
      <c r="I16" s="6" t="s">
        <v>659</v>
      </c>
      <c r="J16" s="3" t="s">
        <v>779</v>
      </c>
    </row>
    <row r="17" spans="2:10" ht="28.8" x14ac:dyDescent="0.3">
      <c r="B17" s="4">
        <v>252</v>
      </c>
      <c r="C17" t="s">
        <v>765</v>
      </c>
      <c r="D17" t="s">
        <v>780</v>
      </c>
      <c r="E17" s="4" t="s">
        <v>205</v>
      </c>
      <c r="F17" s="5">
        <v>46228</v>
      </c>
      <c r="G17" s="83">
        <v>498</v>
      </c>
      <c r="H17" s="3" t="s">
        <v>397</v>
      </c>
      <c r="I17" s="6" t="s">
        <v>767</v>
      </c>
      <c r="J17" s="3" t="s">
        <v>768</v>
      </c>
    </row>
  </sheetData>
  <mergeCells count="3">
    <mergeCell ref="B1:J1"/>
    <mergeCell ref="B2:J2"/>
    <mergeCell ref="B3:J3"/>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40</vt:i4>
      </vt:variant>
    </vt:vector>
  </HeadingPairs>
  <TitlesOfParts>
    <vt:vector size="47" baseType="lpstr">
      <vt:lpstr>Assumptions</vt:lpstr>
      <vt:lpstr>Categories</vt:lpstr>
      <vt:lpstr>Ledger</vt:lpstr>
      <vt:lpstr>VAT_Recon</vt:lpstr>
      <vt:lpstr>Error_Flags</vt:lpstr>
      <vt:lpstr>Cash_Flow</vt:lpstr>
      <vt:lpstr>Error_Key</vt:lpstr>
      <vt:lpstr>AsAt_Date</vt:lpstr>
      <vt:lpstr>Cat_ChargesVAT</vt:lpstr>
      <vt:lpstr>Cat_Class</vt:lpstr>
      <vt:lpstr>Cat_Codes</vt:lpstr>
      <vt:lpstr>Cat_Direction</vt:lpstr>
      <vt:lpstr>Cat_InputDeductible</vt:lpstr>
      <vt:lpstr>Cat_Name</vt:lpstr>
      <vt:lpstr>Cat_Rate</vt:lpstr>
      <vt:lpstr>Cat_Recoverable</vt:lpstr>
      <vt:lpstr>Combined_VAT_Rate</vt:lpstr>
      <vt:lpstr>COVID_Rate</vt:lpstr>
      <vt:lpstr>COVID_Rate_Prior</vt:lpstr>
      <vt:lpstr>Dir_In</vt:lpstr>
      <vt:lpstr>Dir_Out</vt:lpstr>
      <vt:lpstr>Dup_Exclusions</vt:lpstr>
      <vt:lpstr>GETFund_Rate</vt:lpstr>
      <vt:lpstr>Ledger_Year</vt:lpstr>
      <vt:lpstr>NHIL_Rate</vt:lpstr>
      <vt:lpstr>NoInv_Exempt</vt:lpstr>
      <vt:lpstr>Opening_Cash</vt:lpstr>
      <vt:lpstr>Prefix_Inflow</vt:lpstr>
      <vt:lpstr>Prefix_Outflow</vt:lpstr>
      <vt:lpstr>Remit_Kw1</vt:lpstr>
      <vt:lpstr>Remit_Kw2</vt:lpstr>
      <vt:lpstr>Sim_End</vt:lpstr>
      <vt:lpstr>Sim_Start</vt:lpstr>
      <vt:lpstr>Suspect_Categories</vt:lpstr>
      <vt:lpstr>Suspect_Keywords</vt:lpstr>
      <vt:lpstr>Tax_Authority</vt:lpstr>
      <vt:lpstr>Tax_Tolerance</vt:lpstr>
      <vt:lpstr>VAT_Flat_Rate</vt:lpstr>
      <vt:lpstr>VAT_Rate</vt:lpstr>
      <vt:lpstr>VAT_Threshold_Goods</vt:lpstr>
      <vt:lpstr>VAT_Threshold_Services</vt:lpstr>
      <vt:lpstr>VAT_WHT_Rate</vt:lpstr>
      <vt:lpstr>VR_Withheld_At_Source</vt:lpstr>
      <vt:lpstr>WHT_Goods</vt:lpstr>
      <vt:lpstr>WHT_Services</vt:lpstr>
      <vt:lpstr>WHT_Threshold</vt:lpstr>
      <vt:lpstr>WHT_Works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Courage Cobbinah</dc:creator>
  <cp:lastModifiedBy>Courage Cobbinah</cp:lastModifiedBy>
  <dcterms:created xsi:type="dcterms:W3CDTF">2026-09-21T21:06:00Z</dcterms:created>
  <dcterms:modified xsi:type="dcterms:W3CDTF">2026-09-22T11:28:50Z</dcterms:modified>
</cp:coreProperties>
</file>